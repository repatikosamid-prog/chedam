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efore you start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Chedam retest: fixes and changes from testing on 2026-10-09</t>
        </is>
      </c>
    </row>
    <row r="2">
      <c r="A2" t="inlineStr"/>
    </row>
    <row r="3">
      <c r="A3" t="inlineStr">
        <is>
          <t>Test after the update is deployed to the hub (Claude says when). On the laptop and the iPhone; Android later.</t>
        </is>
      </c>
    </row>
    <row r="4">
      <c r="A4" t="inlineStr">
        <is>
          <t>Sample people: Demo Owner, Mira Manager, Cal Cashier, Sam Staff. Reprints by a cashier need a manager's PIN.</t>
        </is>
      </c>
    </row>
    <row r="5">
      <c r="A5" t="inlineStr">
        <is>
          <t>For each row: do what it says, compare with 'What should happen', choose Pass / Fail / Blocked, and write what happened when it is not a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60" customWidth="1" min="5" max="5"/>
    <col width="13" customWidth="1" min="6" max="6"/>
    <col width="45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Device / needs</t>
        </is>
      </c>
      <c r="D1" s="2" t="inlineStr">
        <is>
          <t>What to do</t>
        </is>
      </c>
      <c r="E1" s="2" t="inlineStr">
        <is>
          <t>What should happen</t>
        </is>
      </c>
      <c r="F1" s="2" t="inlineStr">
        <is>
          <t>Result</t>
        </is>
      </c>
      <c r="G1" s="2" t="inlineStr">
        <is>
          <t>Notes (what happened)</t>
        </is>
      </c>
      <c r="H1" s="2" t="inlineStr">
        <is>
          <t>Tester</t>
        </is>
      </c>
      <c r="I1" s="2" t="inlineStr">
        <is>
          <t>Date</t>
        </is>
      </c>
    </row>
    <row r="2">
      <c r="A2" s="3" t="inlineStr">
        <is>
          <t>R01</t>
        </is>
      </c>
      <c r="B2" s="3" t="inlineStr">
        <is>
          <t>Sell</t>
        </is>
      </c>
      <c r="C2" s="3" t="inlineStr">
        <is>
          <t>Till</t>
        </is>
      </c>
      <c r="D2" s="3" t="inlineStr">
        <is>
          <t>Ring up 3 products; tap ✕ on the middle one</t>
        </is>
      </c>
      <c r="E2" s="3" t="inlineStr">
        <is>
          <t>Only that line goes; totals and tax update at once; the other lines stay</t>
        </is>
      </c>
      <c r="F2" s="3" t="inlineStr">
        <is>
          <t>Not tested</t>
        </is>
      </c>
      <c r="G2" s="3" t="inlineStr"/>
      <c r="H2" s="3" t="inlineStr"/>
      <c r="I2" s="3" t="inlineStr"/>
    </row>
    <row r="3">
      <c r="A3" s="3" t="inlineStr">
        <is>
          <t>R02</t>
        </is>
      </c>
      <c r="B3" s="3" t="inlineStr">
        <is>
          <t>Sell</t>
        </is>
      </c>
      <c r="C3" s="3" t="inlineStr">
        <is>
          <t>Till</t>
        </is>
      </c>
      <c r="D3" s="3" t="inlineStr">
        <is>
          <t>Tap − on a line with quantity 1</t>
        </is>
      </c>
      <c r="E3" s="3" t="inlineStr">
        <is>
          <t>That line goes (same as ✕)</t>
        </is>
      </c>
      <c r="F3" s="3" t="inlineStr">
        <is>
          <t>Not tested</t>
        </is>
      </c>
      <c r="G3" s="3" t="inlineStr"/>
      <c r="H3" s="3" t="inlineStr"/>
      <c r="I3" s="3" t="inlineStr"/>
    </row>
    <row r="4">
      <c r="A4" s="3" t="inlineStr">
        <is>
          <t>R03</t>
        </is>
      </c>
      <c r="B4" s="3" t="inlineStr">
        <is>
          <t>Sell</t>
        </is>
      </c>
      <c r="C4" s="3" t="inlineStr">
        <is>
          <t>Till</t>
        </is>
      </c>
      <c r="D4" s="3" t="inlineStr">
        <is>
          <t>Under one product tap 'Discount this item', give 10%</t>
        </is>
      </c>
      <c r="E4" s="3" t="inlineStr">
        <is>
          <t>The line says 'Item discount (10% off) −$…'; no manager needed at exactly 10%</t>
        </is>
      </c>
      <c r="F4" s="3" t="inlineStr">
        <is>
          <t>Not tested</t>
        </is>
      </c>
      <c r="G4" s="3" t="inlineStr"/>
      <c r="H4" s="3" t="inlineStr"/>
      <c r="I4" s="3" t="inlineStr"/>
    </row>
    <row r="5">
      <c r="A5" s="3" t="inlineStr">
        <is>
          <t>R04</t>
        </is>
      </c>
      <c r="B5" s="3" t="inlineStr">
        <is>
          <t>Sell</t>
        </is>
      </c>
      <c r="C5" s="3" t="inlineStr">
        <is>
          <t>Till</t>
        </is>
      </c>
      <c r="D5" s="3" t="inlineStr">
        <is>
          <t>Give a second product $1.00 off, then 'Sale discount' 5% for the whole sale</t>
        </is>
      </c>
      <c r="E5" s="3" t="inlineStr">
        <is>
          <t>Totals show 'Item discounts' and 'Sale discount (5% off)' on separate lines</t>
        </is>
      </c>
      <c r="F5" s="3" t="inlineStr">
        <is>
          <t>Not tested</t>
        </is>
      </c>
      <c r="G5" s="3" t="inlineStr"/>
      <c r="H5" s="3" t="inlineStr"/>
      <c r="I5" s="3" t="inlineStr"/>
    </row>
    <row r="6">
      <c r="A6" s="3" t="inlineStr">
        <is>
          <t>R05</t>
        </is>
      </c>
      <c r="B6" s="3" t="inlineStr">
        <is>
          <t>Sell</t>
        </is>
      </c>
      <c r="C6" s="3" t="inlineStr">
        <is>
          <t>Till</t>
        </is>
      </c>
      <c r="D6" s="3" t="inlineStr">
        <is>
          <t>Pay; look at the receipt on screen (and printed, when there is a printer)</t>
        </is>
      </c>
      <c r="E6" s="3" t="inlineStr">
        <is>
          <t>Under each discounted product: 'Discount 10% off' / 'Discount $1.00 off'; then 'Sale discount 5% off' after the subtotal</t>
        </is>
      </c>
      <c r="F6" s="3" t="inlineStr">
        <is>
          <t>Not tested</t>
        </is>
      </c>
      <c r="G6" s="3" t="inlineStr"/>
      <c r="H6" s="3" t="inlineStr"/>
      <c r="I6" s="3" t="inlineStr"/>
    </row>
    <row r="7">
      <c r="A7" s="3" t="inlineStr">
        <is>
          <t>R06</t>
        </is>
      </c>
      <c r="B7" s="3" t="inlineStr">
        <is>
          <t>Sell</t>
        </is>
      </c>
      <c r="C7" s="3" t="inlineStr">
        <is>
          <t>Till</t>
        </is>
      </c>
      <c r="D7" s="3" t="inlineStr">
        <is>
          <t>After paying, wait without touching the screen</t>
        </is>
      </c>
      <c r="E7" s="3" t="inlineStr">
        <is>
          <t>'Back to selling in 15 s' counts down; the till returns to Sell by itself</t>
        </is>
      </c>
      <c r="F7" s="3" t="inlineStr">
        <is>
          <t>Not tested</t>
        </is>
      </c>
      <c r="G7" s="3" t="inlineStr"/>
      <c r="H7" s="3" t="inlineStr"/>
      <c r="I7" s="3" t="inlineStr"/>
    </row>
    <row r="8">
      <c r="A8" s="3" t="inlineStr">
        <is>
          <t>R07</t>
        </is>
      </c>
      <c r="B8" s="3" t="inlineStr">
        <is>
          <t>Sell</t>
        </is>
      </c>
      <c r="C8" s="3" t="inlineStr">
        <is>
          <t>Till</t>
        </is>
      </c>
      <c r="D8" s="3" t="inlineStr">
        <is>
          <t>After paying, tap 'Stay here' (or tap Reprint / Void)</t>
        </is>
      </c>
      <c r="E8" s="3" t="inlineStr">
        <is>
          <t>The countdown stops; New sale goes back</t>
        </is>
      </c>
      <c r="F8" s="3" t="inlineStr">
        <is>
          <t>Not tested</t>
        </is>
      </c>
      <c r="G8" s="3" t="inlineStr"/>
      <c r="H8" s="3" t="inlineStr"/>
      <c r="I8" s="3" t="inlineStr"/>
    </row>
    <row r="9">
      <c r="A9" s="3" t="inlineStr">
        <is>
          <t>R08</t>
        </is>
      </c>
      <c r="B9" s="3" t="inlineStr">
        <is>
          <t>Receipts</t>
        </is>
      </c>
      <c r="C9" s="3" t="inlineStr">
        <is>
          <t>Till</t>
        </is>
      </c>
      <c r="D9" s="3" t="inlineStr">
        <is>
          <t>As a cashier: Sales → open a sale → Reprint</t>
        </is>
      </c>
      <c r="E9" s="3" t="inlineStr">
        <is>
          <t>Asks for a manager: pick a manager, PIN; then it prints. The sale shows 'Reprinted 1 time'</t>
        </is>
      </c>
      <c r="F9" s="3" t="inlineStr">
        <is>
          <t>Not tested</t>
        </is>
      </c>
      <c r="G9" s="3" t="inlineStr"/>
      <c r="H9" s="3" t="inlineStr"/>
      <c r="I9" s="3" t="inlineStr"/>
    </row>
    <row r="10">
      <c r="A10" s="3" t="inlineStr">
        <is>
          <t>R09</t>
        </is>
      </c>
      <c r="B10" s="3" t="inlineStr">
        <is>
          <t>Receipts</t>
        </is>
      </c>
      <c r="C10" s="3" t="inlineStr">
        <is>
          <t>Till</t>
        </is>
      </c>
      <c r="D10" s="3" t="inlineStr">
        <is>
          <t>As a manager or owner: Reprint</t>
        </is>
      </c>
      <c r="E10" s="3" t="inlineStr">
        <is>
          <t>Prints without asking (it is still counted)</t>
        </is>
      </c>
      <c r="F10" s="3" t="inlineStr">
        <is>
          <t>Not tested</t>
        </is>
      </c>
      <c r="G10" s="3" t="inlineStr"/>
      <c r="H10" s="3" t="inlineStr"/>
      <c r="I10" s="3" t="inlineStr"/>
    </row>
    <row r="11">
      <c r="A11" s="3" t="inlineStr">
        <is>
          <t>R10</t>
        </is>
      </c>
      <c r="B11" s="3" t="inlineStr">
        <is>
          <t>Receipts</t>
        </is>
      </c>
      <c r="C11" s="3" t="inlineStr">
        <is>
          <t>Till</t>
        </is>
      </c>
      <c r="D11" s="3" t="inlineStr">
        <is>
          <t>Right after a sale: Print receipt, then press it again</t>
        </is>
      </c>
      <c r="E11" s="3" t="inlineStr">
        <is>
          <t>The second press is a reprint and asks for a manager (cashier)</t>
        </is>
      </c>
      <c r="F11" s="3" t="inlineStr">
        <is>
          <t>Not tested</t>
        </is>
      </c>
      <c r="G11" s="3" t="inlineStr"/>
      <c r="H11" s="3" t="inlineStr"/>
      <c r="I11" s="3" t="inlineStr"/>
    </row>
    <row r="12">
      <c r="A12" s="3" t="inlineStr">
        <is>
          <t>R11</t>
        </is>
      </c>
      <c r="B12" s="3" t="inlineStr">
        <is>
          <t>Till</t>
        </is>
      </c>
      <c r="C12" s="3" t="inlineStr">
        <is>
          <t>Till</t>
        </is>
      </c>
      <c r="D12" s="3" t="inlineStr">
        <is>
          <t>Close the till, open it again (same device)</t>
        </is>
      </c>
      <c r="E12" s="3" t="inlineStr">
        <is>
          <t>Still 'Till 1'; the Z report says 'Till 1 · Z 2' (Z counts the openings)</t>
        </is>
      </c>
      <c r="F12" s="3" t="inlineStr">
        <is>
          <t>Not tested</t>
        </is>
      </c>
      <c r="G12" s="3" t="inlineStr"/>
      <c r="H12" s="3" t="inlineStr"/>
      <c r="I12" s="3" t="inlineStr"/>
    </row>
    <row r="13">
      <c r="A13" s="3" t="inlineStr">
        <is>
          <t>R12</t>
        </is>
      </c>
      <c r="B13" s="3" t="inlineStr">
        <is>
          <t>Till</t>
        </is>
      </c>
      <c r="C13" s="3" t="inlineStr">
        <is>
          <t>Second device</t>
        </is>
      </c>
      <c r="D13" s="3" t="inlineStr">
        <is>
          <t>Open a till on another device (e.g. the iPhone)</t>
        </is>
      </c>
      <c r="E13" s="3" t="inlineStr">
        <is>
          <t>That device is 'Till 2'; the first stays 'Till 1'</t>
        </is>
      </c>
      <c r="F13" s="3" t="inlineStr">
        <is>
          <t>Not tested</t>
        </is>
      </c>
      <c r="G13" s="3" t="inlineStr"/>
      <c r="H13" s="3" t="inlineStr"/>
      <c r="I13" s="3" t="inlineStr"/>
    </row>
    <row r="14">
      <c r="A14" s="3" t="inlineStr">
        <is>
          <t>R13</t>
        </is>
      </c>
      <c r="B14" s="3" t="inlineStr">
        <is>
          <t>Reports</t>
        </is>
      </c>
      <c r="C14" s="3" t="inlineStr">
        <is>
          <t>Laptop</t>
        </is>
      </c>
      <c r="D14" s="3" t="inlineStr">
        <is>
          <t>Reports → Tills: reconcile a closed till</t>
        </is>
      </c>
      <c r="E14" s="3" t="inlineStr">
        <is>
          <t>Batch number given by Chedam: B-000001, then B-000002 for the next till; never twice; 'Change' keeps the number</t>
        </is>
      </c>
      <c r="F14" s="3" t="inlineStr">
        <is>
          <t>Not tested</t>
        </is>
      </c>
      <c r="G14" s="3" t="inlineStr"/>
      <c r="H14" s="3" t="inlineStr"/>
      <c r="I14" s="3" t="inlineStr"/>
    </row>
    <row r="15">
      <c r="A15" s="3" t="inlineStr">
        <is>
          <t>R14</t>
        </is>
      </c>
      <c r="B15" s="3" t="inlineStr">
        <is>
          <t>Stock</t>
        </is>
      </c>
      <c r="C15" s="3" t="inlineStr">
        <is>
          <t>Laptop</t>
        </is>
      </c>
      <c r="D15" s="3" t="inlineStr">
        <is>
          <t>Stock → a product that was received and sold → Recent changes</t>
        </is>
      </c>
      <c r="E15" s="3" t="inlineStr">
        <is>
          <t>Received in green, Sold in blue (Damaged / lost red); a key above the list</t>
        </is>
      </c>
      <c r="F15" s="3" t="inlineStr">
        <is>
          <t>Not tested</t>
        </is>
      </c>
      <c r="G15" s="3" t="inlineStr"/>
      <c r="H15" s="3" t="inlineStr"/>
      <c r="I15" s="3" t="inlineStr"/>
    </row>
    <row r="16">
      <c r="A16" s="3" t="inlineStr">
        <is>
          <t>R15</t>
        </is>
      </c>
      <c r="B16" s="3" t="inlineStr">
        <is>
          <t>Saving</t>
        </is>
      </c>
      <c r="C16" s="3" t="inlineStr">
        <is>
          <t>Any</t>
        </is>
      </c>
      <c r="D16" s="3" t="inlineStr">
        <is>
          <t>Save something on any screen (category, product, settings, printers, reconcile…)</t>
        </is>
      </c>
      <c r="E16" s="3" t="inlineStr">
        <is>
          <t>'Saved ✓' pops up at the bottom for 2-3 seconds</t>
        </is>
      </c>
      <c r="F16" s="3" t="inlineStr">
        <is>
          <t>Not tested</t>
        </is>
      </c>
      <c r="G16" s="3" t="inlineStr"/>
      <c r="H16" s="3" t="inlineStr"/>
      <c r="I16" s="3" t="inlineStr"/>
    </row>
    <row r="17">
      <c r="A17" s="3" t="inlineStr">
        <is>
          <t>R16</t>
        </is>
      </c>
      <c r="B17" s="3" t="inlineStr">
        <is>
          <t>Labels</t>
        </is>
      </c>
      <c r="C17" s="3" t="inlineStr">
        <is>
          <t>Laptop</t>
        </is>
      </c>
      <c r="D17" s="3" t="inlineStr">
        <is>
          <t>Labels: 10 labels of one product among others; make the PDF; print at 100% (Actual size)</t>
        </is>
      </c>
      <c r="E17" s="3" t="inlineStr">
        <is>
          <t>Every label shows its own name with its own price right under it; no price sits next to another label's name</t>
        </is>
      </c>
      <c r="F17" s="3" t="inlineStr">
        <is>
          <t>Not tested</t>
        </is>
      </c>
      <c r="G17" s="3" t="inlineStr"/>
      <c r="H17" s="3" t="inlineStr"/>
      <c r="I17" s="3" t="inlineStr"/>
    </row>
    <row r="18">
      <c r="A18" s="3" t="inlineStr">
        <is>
          <t>R17</t>
        </is>
      </c>
      <c r="B18" s="3" t="inlineStr">
        <is>
          <t>Labels</t>
        </is>
      </c>
      <c r="C18" s="3" t="inlineStr">
        <is>
          <t>iPhone</t>
        </is>
      </c>
      <c r="D18" s="3" t="inlineStr">
        <is>
          <t>Labels → add a category → Make the PDF (also right after an update was installed)</t>
        </is>
      </c>
      <c r="E18" s="3" t="inlineStr">
        <is>
          <t>The PDF opens. If a new version was just installed, the app reloads once by itself and the PDF works</t>
        </is>
      </c>
      <c r="F18" s="3" t="inlineStr">
        <is>
          <t>Not tested</t>
        </is>
      </c>
      <c r="G18" s="3" t="inlineStr"/>
      <c r="H18" s="3" t="inlineStr"/>
      <c r="I18" s="3" t="inlineStr"/>
    </row>
    <row r="19">
      <c r="A19" s="3" t="inlineStr">
        <is>
          <t>R18</t>
        </is>
      </c>
      <c r="B19" s="3" t="inlineStr">
        <is>
          <t>Import</t>
        </is>
      </c>
      <c r="C19" s="3" t="inlineStr">
        <is>
          <t>Laptop</t>
        </is>
      </c>
      <c r="D19" s="3" t="inlineStr">
        <is>
          <t>Import and export → open 'The columns Chedam reads'</t>
        </is>
      </c>
      <c r="E19" s="3" t="inlineStr">
        <is>
          <t>Table of columns: which are required (Name), needed to sell, optional; with examples</t>
        </is>
      </c>
      <c r="F19" s="3" t="inlineStr">
        <is>
          <t>Not tested</t>
        </is>
      </c>
      <c r="G19" s="3" t="inlineStr"/>
      <c r="H19" s="3" t="inlineStr"/>
      <c r="I19" s="3" t="inlineStr"/>
    </row>
    <row r="20">
      <c r="A20" s="3" t="inlineStr">
        <is>
          <t>R19</t>
        </is>
      </c>
      <c r="B20" s="3" t="inlineStr">
        <is>
          <t>Import</t>
        </is>
      </c>
      <c r="C20" s="3" t="inlineStr">
        <is>
          <t>Laptop</t>
        </is>
      </c>
      <c r="D20" s="3" t="inlineStr">
        <is>
          <t>Download template (Excel), fill in 2 products, import it</t>
        </is>
      </c>
      <c r="E20" s="3" t="inlineStr">
        <is>
          <t>Columns map by themselves (all 'high'); products imported</t>
        </is>
      </c>
      <c r="F20" s="3" t="inlineStr">
        <is>
          <t>Not tested</t>
        </is>
      </c>
      <c r="G20" s="3" t="inlineStr"/>
      <c r="H20" s="3" t="inlineStr"/>
      <c r="I20" s="3" t="inlineStr"/>
    </row>
    <row r="21">
      <c r="A21" s="3" t="inlineStr">
        <is>
          <t>R20</t>
        </is>
      </c>
      <c r="B21" s="3" t="inlineStr">
        <is>
          <t>Import</t>
        </is>
      </c>
      <c r="C21" s="3" t="inlineStr">
        <is>
          <t>Laptop + Google Sheets</t>
        </is>
      </c>
      <c r="D21" s="3" t="inlineStr">
        <is>
          <t>Open the CSV template in Google Sheets, fill in, File → Download → .csv, import</t>
        </is>
      </c>
      <c r="E21" s="3" t="inlineStr">
        <is>
          <t>Same as R19</t>
        </is>
      </c>
      <c r="F21" s="3" t="inlineStr">
        <is>
          <t>Not tested</t>
        </is>
      </c>
      <c r="G21" s="3" t="inlineStr"/>
      <c r="H21" s="3" t="inlineStr"/>
      <c r="I21" s="3" t="inlineStr"/>
    </row>
    <row r="22">
      <c r="A22" s="3" t="inlineStr">
        <is>
          <t>R21</t>
        </is>
      </c>
      <c r="B22" s="3" t="inlineStr">
        <is>
          <t>Export</t>
        </is>
      </c>
      <c r="C22" s="3" t="inlineStr">
        <is>
          <t>Laptop</t>
        </is>
      </c>
      <c r="D22" s="3" t="inlineStr">
        <is>
          <t>Export data: tick only Sales (or Products, People…), choose Excel workbook, download</t>
        </is>
      </c>
      <c r="E22" s="3" t="inlineStr">
        <is>
          <t>Only the chosen data, one sheet per table plus a Dictionary sheet</t>
        </is>
      </c>
      <c r="F22" s="3" t="inlineStr">
        <is>
          <t>Not tested</t>
        </is>
      </c>
      <c r="G22" s="3" t="inlineStr"/>
      <c r="H22" s="3" t="inlineStr"/>
      <c r="I22" s="3" t="inlineStr"/>
    </row>
  </sheetData>
  <autoFilter ref="A1:I22"/>
  <conditionalFormatting sqref="F2:F2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F22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Area</t>
        </is>
      </c>
      <c r="B1" s="4" t="inlineStr">
        <is>
          <t>Checks</t>
        </is>
      </c>
      <c r="C1" s="4" t="inlineStr">
        <is>
          <t>Pass</t>
        </is>
      </c>
      <c r="D1" s="4" t="inlineStr">
        <is>
          <t>Fail</t>
        </is>
      </c>
      <c r="E1" s="4" t="inlineStr">
        <is>
          <t>Blocked</t>
        </is>
      </c>
      <c r="F1" s="4" t="inlineStr">
        <is>
          <t>Not tested</t>
        </is>
      </c>
    </row>
    <row r="2">
      <c r="A2" t="inlineStr">
        <is>
          <t>Sell</t>
        </is>
      </c>
      <c r="B2">
        <f>COUNTIF(Tests!B:B,A2)</f>
        <v/>
      </c>
      <c r="C2">
        <f>COUNTIFS(Tests!B:B,A2,Tests!F:F,"Pass")</f>
        <v/>
      </c>
      <c r="D2">
        <f>COUNTIFS(Tests!B:B,A2,Tests!F:F,"Fail")</f>
        <v/>
      </c>
      <c r="E2">
        <f>COUNTIFS(Tests!B:B,A2,Tests!F:F,"Blocked")</f>
        <v/>
      </c>
      <c r="F2">
        <f>COUNTIFS(Tests!B:B,A2,Tests!F:F,"Not tested")</f>
        <v/>
      </c>
    </row>
    <row r="3">
      <c r="A3" t="inlineStr">
        <is>
          <t>Receipts</t>
        </is>
      </c>
      <c r="B3">
        <f>COUNTIF(Tests!B:B,A3)</f>
        <v/>
      </c>
      <c r="C3">
        <f>COUNTIFS(Tests!B:B,A3,Tests!F:F,"Pass")</f>
        <v/>
      </c>
      <c r="D3">
        <f>COUNTIFS(Tests!B:B,A3,Tests!F:F,"Fail")</f>
        <v/>
      </c>
      <c r="E3">
        <f>COUNTIFS(Tests!B:B,A3,Tests!F:F,"Blocked")</f>
        <v/>
      </c>
      <c r="F3">
        <f>COUNTIFS(Tests!B:B,A3,Tests!F:F,"Not tested")</f>
        <v/>
      </c>
    </row>
    <row r="4">
      <c r="A4" t="inlineStr">
        <is>
          <t>Till</t>
        </is>
      </c>
      <c r="B4">
        <f>COUNTIF(Tests!B:B,A4)</f>
        <v/>
      </c>
      <c r="C4">
        <f>COUNTIFS(Tests!B:B,A4,Tests!F:F,"Pass")</f>
        <v/>
      </c>
      <c r="D4">
        <f>COUNTIFS(Tests!B:B,A4,Tests!F:F,"Fail")</f>
        <v/>
      </c>
      <c r="E4">
        <f>COUNTIFS(Tests!B:B,A4,Tests!F:F,"Blocked")</f>
        <v/>
      </c>
      <c r="F4">
        <f>COUNTIFS(Tests!B:B,A4,Tests!F:F,"Not tested")</f>
        <v/>
      </c>
    </row>
    <row r="5">
      <c r="A5" t="inlineStr">
        <is>
          <t>Reports</t>
        </is>
      </c>
      <c r="B5">
        <f>COUNTIF(Tests!B:B,A5)</f>
        <v/>
      </c>
      <c r="C5">
        <f>COUNTIFS(Tests!B:B,A5,Tests!F:F,"Pass")</f>
        <v/>
      </c>
      <c r="D5">
        <f>COUNTIFS(Tests!B:B,A5,Tests!F:F,"Fail")</f>
        <v/>
      </c>
      <c r="E5">
        <f>COUNTIFS(Tests!B:B,A5,Tests!F:F,"Blocked")</f>
        <v/>
      </c>
      <c r="F5">
        <f>COUNTIFS(Tests!B:B,A5,Tests!F:F,"Not tested")</f>
        <v/>
      </c>
    </row>
    <row r="6">
      <c r="A6" t="inlineStr">
        <is>
          <t>Stock</t>
        </is>
      </c>
      <c r="B6">
        <f>COUNTIF(Tests!B:B,A6)</f>
        <v/>
      </c>
      <c r="C6">
        <f>COUNTIFS(Tests!B:B,A6,Tests!F:F,"Pass")</f>
        <v/>
      </c>
      <c r="D6">
        <f>COUNTIFS(Tests!B:B,A6,Tests!F:F,"Fail")</f>
        <v/>
      </c>
      <c r="E6">
        <f>COUNTIFS(Tests!B:B,A6,Tests!F:F,"Blocked")</f>
        <v/>
      </c>
      <c r="F6">
        <f>COUNTIFS(Tests!B:B,A6,Tests!F:F,"Not tested")</f>
        <v/>
      </c>
    </row>
    <row r="7">
      <c r="A7" t="inlineStr">
        <is>
          <t>Saving</t>
        </is>
      </c>
      <c r="B7">
        <f>COUNTIF(Tests!B:B,A7)</f>
        <v/>
      </c>
      <c r="C7">
        <f>COUNTIFS(Tests!B:B,A7,Tests!F:F,"Pass")</f>
        <v/>
      </c>
      <c r="D7">
        <f>COUNTIFS(Tests!B:B,A7,Tests!F:F,"Fail")</f>
        <v/>
      </c>
      <c r="E7">
        <f>COUNTIFS(Tests!B:B,A7,Tests!F:F,"Blocked")</f>
        <v/>
      </c>
      <c r="F7">
        <f>COUNTIFS(Tests!B:B,A7,Tests!F:F,"Not tested")</f>
        <v/>
      </c>
    </row>
    <row r="8">
      <c r="A8" t="inlineStr">
        <is>
          <t>Labels</t>
        </is>
      </c>
      <c r="B8">
        <f>COUNTIF(Tests!B:B,A8)</f>
        <v/>
      </c>
      <c r="C8">
        <f>COUNTIFS(Tests!B:B,A8,Tests!F:F,"Pass")</f>
        <v/>
      </c>
      <c r="D8">
        <f>COUNTIFS(Tests!B:B,A8,Tests!F:F,"Fail")</f>
        <v/>
      </c>
      <c r="E8">
        <f>COUNTIFS(Tests!B:B,A8,Tests!F:F,"Blocked")</f>
        <v/>
      </c>
      <c r="F8">
        <f>COUNTIFS(Tests!B:B,A8,Tests!F:F,"Not tested")</f>
        <v/>
      </c>
    </row>
    <row r="9">
      <c r="A9" t="inlineStr">
        <is>
          <t>Import</t>
        </is>
      </c>
      <c r="B9">
        <f>COUNTIF(Tests!B:B,A9)</f>
        <v/>
      </c>
      <c r="C9">
        <f>COUNTIFS(Tests!B:B,A9,Tests!F:F,"Pass")</f>
        <v/>
      </c>
      <c r="D9">
        <f>COUNTIFS(Tests!B:B,A9,Tests!F:F,"Fail")</f>
        <v/>
      </c>
      <c r="E9">
        <f>COUNTIFS(Tests!B:B,A9,Tests!F:F,"Blocked")</f>
        <v/>
      </c>
      <c r="F9">
        <f>COUNTIFS(Tests!B:B,A9,Tests!F:F,"Not tested")</f>
        <v/>
      </c>
    </row>
    <row r="10">
      <c r="A10" t="inlineStr">
        <is>
          <t>Export</t>
        </is>
      </c>
      <c r="B10">
        <f>COUNTIF(Tests!B:B,A10)</f>
        <v/>
      </c>
      <c r="C10">
        <f>COUNTIFS(Tests!B:B,A10,Tests!F:F,"Pass")</f>
        <v/>
      </c>
      <c r="D10">
        <f>COUNTIFS(Tests!B:B,A10,Tests!F:F,"Fail")</f>
        <v/>
      </c>
      <c r="E10">
        <f>COUNTIFS(Tests!B:B,A10,Tests!F:F,"Blocked")</f>
        <v/>
      </c>
      <c r="F10">
        <f>COUNTIFS(Tests!B:B,A10,Tests!F:F,"Not tested")</f>
        <v/>
      </c>
    </row>
    <row r="11">
      <c r="A11" s="5" t="inlineStr">
        <is>
          <t>All</t>
        </is>
      </c>
      <c r="B11" s="5">
        <f>SUM(B2:B10)</f>
        <v/>
      </c>
      <c r="C11" s="5">
        <f>SUM(C2:C10)</f>
        <v/>
      </c>
      <c r="D11" s="5">
        <f>SUM(D2:D10)</f>
        <v/>
      </c>
      <c r="E11" s="5">
        <f>SUM(E2:E10)</f>
        <v/>
      </c>
      <c r="F11" s="5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2026-10-09T15:09:35Z</dcterms:created>
  <dcterms:modified xsi:type="dcterms:W3CDTF">2026-10-09T15:09:35Z</dcterms:modified>
</cp:coreProperties>
</file>