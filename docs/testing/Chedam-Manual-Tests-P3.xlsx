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Before you start" sheetId="1" state="visible" r:id="rId1"/>
    <sheet name="Tests" sheetId="2" state="visible" r:id="rId2"/>
    <sheet name="Summary" sheetId="3" state="visible" r:id="rId3"/>
  </sheets>
  <definedNames>
    <definedName name="_xlnm._FilterDatabase" localSheetId="1" hidden="1">'Tests'!$A$1:$I$48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Chedam manual tests: P3 Buy and spend (grows with each build step; tested in the P2-P4 test week)</t>
        </is>
      </c>
    </row>
    <row r="2">
      <c r="A2" t="inlineStr"/>
    </row>
    <row r="3">
      <c r="A3" t="inlineStr">
        <is>
          <t>Laptop and iPhone; Android later. Sample people: Demo Owner, Mira Manager, Ana Accountant, Cal Cashier, Sam Staff.</t>
        </is>
      </c>
    </row>
    <row r="4">
      <c r="A4" t="inlineStr">
        <is>
          <t>Sample vendors: Fresh Fields Produce, Coastal Beverages Ltd., Maple Snacks Wholesale (USD); client: Cafe Luna.</t>
        </is>
      </c>
    </row>
    <row r="5">
      <c r="A5" t="inlineStr">
        <is>
          <t>For each row: do what it says, compare with 'What should happen', choose Pass / Fail / Blocked, and write what happened when it is not a Pass.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60" customWidth="1" min="4" max="4"/>
    <col width="60" customWidth="1" min="5" max="5"/>
    <col width="13" customWidth="1" min="6" max="6"/>
    <col width="45" customWidth="1" min="7" max="7"/>
    <col width="12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Device / needs</t>
        </is>
      </c>
      <c r="D1" s="2" t="inlineStr">
        <is>
          <t>What to do</t>
        </is>
      </c>
      <c r="E1" s="2" t="inlineStr">
        <is>
          <t>What should happen</t>
        </is>
      </c>
      <c r="F1" s="2" t="inlineStr">
        <is>
          <t>Result</t>
        </is>
      </c>
      <c r="G1" s="2" t="inlineStr">
        <is>
          <t>Notes (what happened)</t>
        </is>
      </c>
      <c r="H1" s="2" t="inlineStr">
        <is>
          <t>Tester</t>
        </is>
      </c>
      <c r="I1" s="2" t="inlineStr">
        <is>
          <t>Date</t>
        </is>
      </c>
    </row>
    <row r="2">
      <c r="A2" s="3" t="inlineStr">
        <is>
          <t>Q01</t>
        </is>
      </c>
      <c r="B2" s="3" t="inlineStr">
        <is>
          <t>Parties</t>
        </is>
      </c>
      <c r="C2" s="3" t="inlineStr">
        <is>
          <t>Laptop (manager)</t>
        </is>
      </c>
      <c r="D2" s="3" t="inlineStr">
        <is>
          <t>Home → Vendors and clients</t>
        </is>
      </c>
      <c r="E2" s="3" t="inlineStr">
        <is>
          <t>The sample vendors and Cafe Luna; search by name or code; filter vendors / clients</t>
        </is>
      </c>
      <c r="F2" s="3" t="inlineStr">
        <is>
          <t>Not tested</t>
        </is>
      </c>
      <c r="G2" s="3" t="inlineStr"/>
      <c r="H2" s="3" t="inlineStr"/>
      <c r="I2" s="3" t="inlineStr"/>
    </row>
    <row r="3">
      <c r="A3" s="3" t="inlineStr">
        <is>
          <t>Q02</t>
        </is>
      </c>
      <c r="B3" s="3" t="inlineStr">
        <is>
          <t>Parties</t>
        </is>
      </c>
      <c r="C3" s="3" t="inlineStr">
        <is>
          <t>Laptop (manager)</t>
        </is>
      </c>
      <c r="D3" s="3" t="inlineStr">
        <is>
          <t>New: a vendor that is also a client, code 'isl bak', currency cad, terms 15 days, GST number, address</t>
        </is>
      </c>
      <c r="E3" s="3" t="inlineStr">
        <is>
          <t>Saved as code ISLBAK, currency CAD; shown with its details</t>
        </is>
      </c>
      <c r="F3" s="3" t="inlineStr">
        <is>
          <t>Not tested</t>
        </is>
      </c>
      <c r="G3" s="3" t="inlineStr"/>
      <c r="H3" s="3" t="inlineStr"/>
      <c r="I3" s="3" t="inlineStr"/>
    </row>
    <row r="4">
      <c r="A4" s="3" t="inlineStr">
        <is>
          <t>Q03</t>
        </is>
      </c>
      <c r="B4" s="3" t="inlineStr">
        <is>
          <t>Parties</t>
        </is>
      </c>
      <c r="C4" s="3" t="inlineStr">
        <is>
          <t>Laptop (manager)</t>
        </is>
      </c>
      <c r="D4" s="3" t="inlineStr">
        <is>
          <t>Add two contacts (one main), a PDF price list</t>
        </is>
      </c>
      <c r="E4" s="3" t="inlineStr">
        <is>
          <t>Contacts listed with ★ on the main one; the PDF opens</t>
        </is>
      </c>
      <c r="F4" s="3" t="inlineStr">
        <is>
          <t>Not tested</t>
        </is>
      </c>
      <c r="G4" s="3" t="inlineStr"/>
      <c r="H4" s="3" t="inlineStr"/>
      <c r="I4" s="3" t="inlineStr"/>
    </row>
    <row r="5">
      <c r="A5" s="3" t="inlineStr">
        <is>
          <t>Q04</t>
        </is>
      </c>
      <c r="B5" s="3" t="inlineStr">
        <is>
          <t>Parties</t>
        </is>
      </c>
      <c r="C5" s="3" t="inlineStr">
        <is>
          <t>Phone (staff)</t>
        </is>
      </c>
      <c r="D5" s="3" t="inlineStr">
        <is>
          <t>Log a call with a follow-up date tomorrow</t>
        </is>
      </c>
      <c r="E5" s="3" t="inlineStr">
        <is>
          <t>In the log with your name; Tasks → Mine shows 'Follow up with …' due tomorrow</t>
        </is>
      </c>
      <c r="F5" s="3" t="inlineStr">
        <is>
          <t>Not tested</t>
        </is>
      </c>
      <c r="G5" s="3" t="inlineStr"/>
      <c r="H5" s="3" t="inlineStr"/>
      <c r="I5" s="3" t="inlineStr"/>
    </row>
    <row r="6">
      <c r="A6" s="3" t="inlineStr">
        <is>
          <t>Q05</t>
        </is>
      </c>
      <c r="B6" s="3" t="inlineStr">
        <is>
          <t>Parties</t>
        </is>
      </c>
      <c r="C6" s="3" t="inlineStr">
        <is>
          <t>Till (cashier)</t>
        </is>
      </c>
      <c r="D6" s="3" t="inlineStr">
        <is>
          <t>Try to open Vendors and clients</t>
        </is>
      </c>
      <c r="E6" s="3" t="inlineStr">
        <is>
          <t>No tile; the address #parties goes back to Home</t>
        </is>
      </c>
      <c r="F6" s="3" t="inlineStr">
        <is>
          <t>Not tested</t>
        </is>
      </c>
      <c r="G6" s="3" t="inlineStr"/>
      <c r="H6" s="3" t="inlineStr"/>
      <c r="I6" s="3" t="inlineStr"/>
    </row>
    <row r="7">
      <c r="A7" s="3" t="inlineStr">
        <is>
          <t>Q06</t>
        </is>
      </c>
      <c r="B7" s="3" t="inlineStr">
        <is>
          <t>Parties</t>
        </is>
      </c>
      <c r="C7" s="3" t="inlineStr">
        <is>
          <t>Laptop (manager)</t>
        </is>
      </c>
      <c r="D7" s="3" t="inlineStr">
        <is>
          <t>Exchange rates → add EUR for 1 January and 1 June</t>
        </is>
      </c>
      <c r="E7" s="3" t="inlineStr">
        <is>
          <t>Listed; documents dated in March use the January rate</t>
        </is>
      </c>
      <c r="F7" s="3" t="inlineStr">
        <is>
          <t>Not tested</t>
        </is>
      </c>
      <c r="G7" s="3" t="inlineStr"/>
      <c r="H7" s="3" t="inlineStr"/>
      <c r="I7" s="3" t="inlineStr"/>
    </row>
    <row r="8">
      <c r="A8" s="3" t="inlineStr">
        <is>
          <t>Q10</t>
        </is>
      </c>
      <c r="B8" s="3" t="inlineStr">
        <is>
          <t>Vendor prices</t>
        </is>
      </c>
      <c r="C8" s="3" t="inlineStr">
        <is>
          <t>Laptop (manager)</t>
        </is>
      </c>
      <c r="D8" s="3" t="inlineStr">
        <is>
          <t>Buying → Vendor prices → Coastal Beverages</t>
        </is>
      </c>
      <c r="E8" s="3" t="inlineStr">
        <is>
          <t>The sample products with unit, code, cost; ★ on preferred ones</t>
        </is>
      </c>
      <c r="F8" s="3" t="inlineStr">
        <is>
          <t>Not tested</t>
        </is>
      </c>
      <c r="G8" s="3" t="inlineStr"/>
      <c r="H8" s="3" t="inlineStr"/>
      <c r="I8" s="3" t="inlineStr"/>
    </row>
    <row r="9">
      <c r="A9" s="3" t="inlineStr">
        <is>
          <t>Q11</t>
        </is>
      </c>
      <c r="B9" s="3" t="inlineStr">
        <is>
          <t>Vendor prices</t>
        </is>
      </c>
      <c r="C9" s="3" t="inlineStr">
        <is>
          <t>Laptop (manager)</t>
        </is>
      </c>
      <c r="D9" s="3" t="inlineStr">
        <is>
          <t>Add a product: chips, comes as the largest unit, cost, preferred</t>
        </is>
      </c>
      <c r="E9" s="3" t="inlineStr">
        <is>
          <t>Saved; any other vendor's ★ for chips goes</t>
        </is>
      </c>
      <c r="F9" s="3" t="inlineStr">
        <is>
          <t>Not tested</t>
        </is>
      </c>
      <c r="G9" s="3" t="inlineStr"/>
      <c r="H9" s="3" t="inlineStr"/>
      <c r="I9" s="3" t="inlineStr"/>
    </row>
    <row r="10">
      <c r="A10" s="3" t="inlineStr">
        <is>
          <t>Q12</t>
        </is>
      </c>
      <c r="B10" s="3" t="inlineStr">
        <is>
          <t>Vendor prices</t>
        </is>
      </c>
      <c r="C10" s="3" t="inlineStr">
        <is>
          <t>Laptop (manager)</t>
        </is>
      </c>
      <c r="D10" s="3" t="inlineStr">
        <is>
          <t>Change its cost</t>
        </is>
      </c>
      <c r="E10" s="3" t="inlineStr">
        <is>
          <t>Shows 'was …' in red (up) or green (down)</t>
        </is>
      </c>
      <c r="F10" s="3" t="inlineStr">
        <is>
          <t>Not tested</t>
        </is>
      </c>
      <c r="G10" s="3" t="inlineStr"/>
      <c r="H10" s="3" t="inlineStr"/>
      <c r="I10" s="3" t="inlineStr"/>
    </row>
    <row r="11">
      <c r="A11" s="3" t="inlineStr">
        <is>
          <t>Q13</t>
        </is>
      </c>
      <c r="B11" s="3" t="inlineStr">
        <is>
          <t>Price list</t>
        </is>
      </c>
      <c r="C11" s="3" t="inlineStr">
        <is>
          <t>Laptop (manager)</t>
        </is>
      </c>
      <c r="D11" s="3" t="inlineStr">
        <is>
          <t>Import price list: an Excel file with Code, Barcode, Description, Price columns (one unknown barcode, one empty price)</t>
        </is>
      </c>
      <c r="E11" s="3" t="inlineStr">
        <is>
          <t>Columns guessed; result: new / changed / same, up and down lists, two rows not matched with the reason</t>
        </is>
      </c>
      <c r="F11" s="3" t="inlineStr">
        <is>
          <t>Not tested</t>
        </is>
      </c>
      <c r="G11" s="3" t="inlineStr"/>
      <c r="H11" s="3" t="inlineStr"/>
      <c r="I11" s="3" t="inlineStr"/>
    </row>
    <row r="12">
      <c r="A12" s="3" t="inlineStr">
        <is>
          <t>Q14</t>
        </is>
      </c>
      <c r="B12" s="3" t="inlineStr">
        <is>
          <t>Compare</t>
        </is>
      </c>
      <c r="C12" s="3" t="inlineStr">
        <is>
          <t>Phone (staff)</t>
        </is>
      </c>
      <c r="D12" s="3" t="inlineStr">
        <is>
          <t>Compare vendors → chips</t>
        </is>
      </c>
      <c r="E12" s="3" t="inlineStr">
        <is>
          <t>Maple (USD) and Coastal with the cost per base unit in CAD; cheapest marked</t>
        </is>
      </c>
      <c r="F12" s="3" t="inlineStr">
        <is>
          <t>Not tested</t>
        </is>
      </c>
      <c r="G12" s="3" t="inlineStr"/>
      <c r="H12" s="3" t="inlineStr"/>
      <c r="I12" s="3" t="inlineStr"/>
    </row>
    <row r="13">
      <c r="A13" s="3" t="inlineStr">
        <is>
          <t>Q15</t>
        </is>
      </c>
      <c r="B13" s="3" t="inlineStr">
        <is>
          <t>Compare</t>
        </is>
      </c>
      <c r="C13" s="3" t="inlineStr">
        <is>
          <t>Laptop (manager)</t>
        </is>
      </c>
      <c r="D13" s="3" t="inlineStr">
        <is>
          <t>Better prices</t>
        </is>
      </c>
      <c r="E13" s="3" t="inlineStr">
        <is>
          <t>Products whose ★ vendor is not the cheapest, with −%</t>
        </is>
      </c>
      <c r="F13" s="3" t="inlineStr">
        <is>
          <t>Not tested</t>
        </is>
      </c>
      <c r="G13" s="3" t="inlineStr"/>
      <c r="H13" s="3" t="inlineStr"/>
      <c r="I13" s="3" t="inlineStr"/>
    </row>
    <row r="14">
      <c r="A14" s="3" t="inlineStr">
        <is>
          <t>Q20</t>
        </is>
      </c>
      <c r="B14" s="3" t="inlineStr">
        <is>
          <t>Purchase orders</t>
        </is>
      </c>
      <c r="C14" s="3" t="inlineStr">
        <is>
          <t>Laptop (manager)</t>
        </is>
      </c>
      <c r="D14" s="3" t="inlineStr">
        <is>
          <t>Buying → New order: Coastal, two products from 'Add what this vendor sells', change a quantity</t>
        </is>
      </c>
      <c r="E14" s="3" t="inlineStr">
        <is>
          <t>Draft PO-… with the vendor's costs and the total</t>
        </is>
      </c>
      <c r="F14" s="3" t="inlineStr">
        <is>
          <t>Not tested</t>
        </is>
      </c>
      <c r="G14" s="3" t="inlineStr"/>
      <c r="H14" s="3" t="inlineStr"/>
      <c r="I14" s="3" t="inlineStr"/>
    </row>
    <row r="15">
      <c r="A15" s="3" t="inlineStr">
        <is>
          <t>Q21</t>
        </is>
      </c>
      <c r="B15" s="3" t="inlineStr">
        <is>
          <t>Purchase orders</t>
        </is>
      </c>
      <c r="C15" s="3" t="inlineStr">
        <is>
          <t>Laptop (manager)</t>
        </is>
      </c>
      <c r="D15" s="3" t="inlineStr">
        <is>
          <t>Send</t>
        </is>
      </c>
      <c r="E15" s="3" t="inlineStr">
        <is>
          <t>Status Sent; a PDF downloads with the store, vendor, lines and total; Stock shows the quantity as incoming</t>
        </is>
      </c>
      <c r="F15" s="3" t="inlineStr">
        <is>
          <t>Not tested</t>
        </is>
      </c>
      <c r="G15" s="3" t="inlineStr"/>
      <c r="H15" s="3" t="inlineStr"/>
      <c r="I15" s="3" t="inlineStr"/>
    </row>
    <row r="16">
      <c r="A16" s="3" t="inlineStr">
        <is>
          <t>Q22</t>
        </is>
      </c>
      <c r="B16" s="3" t="inlineStr">
        <is>
          <t>Purchase orders</t>
        </is>
      </c>
      <c r="C16" s="3" t="inlineStr">
        <is>
          <t>Phone (staff)</t>
        </is>
      </c>
      <c r="D16" s="3" t="inlineStr">
        <is>
          <t>Open the order → Receive: part of one line</t>
        </is>
      </c>
      <c r="E16" s="3" t="inlineStr">
        <is>
          <t>Partly received; stock goes up; incoming goes down</t>
        </is>
      </c>
      <c r="F16" s="3" t="inlineStr">
        <is>
          <t>Not tested</t>
        </is>
      </c>
      <c r="G16" s="3" t="inlineStr"/>
      <c r="H16" s="3" t="inlineStr"/>
      <c r="I16" s="3" t="inlineStr"/>
    </row>
    <row r="17">
      <c r="A17" s="3" t="inlineStr">
        <is>
          <t>Q23</t>
        </is>
      </c>
      <c r="B17" s="3" t="inlineStr">
        <is>
          <t>Purchase orders</t>
        </is>
      </c>
      <c r="C17" s="3" t="inlineStr">
        <is>
          <t>Phone (staff)</t>
        </is>
      </c>
      <c r="D17" s="3" t="inlineStr">
        <is>
          <t>Receive the rest with a higher cost on one line and one more than ordered</t>
        </is>
      </c>
      <c r="E17" s="3" t="inlineStr">
        <is>
          <t>Received; differences 'different cost', 'more than ordered'; a task for the managers</t>
        </is>
      </c>
      <c r="F17" s="3" t="inlineStr">
        <is>
          <t>Not tested</t>
        </is>
      </c>
      <c r="G17" s="3" t="inlineStr"/>
      <c r="H17" s="3" t="inlineStr"/>
      <c r="I17" s="3" t="inlineStr"/>
    </row>
    <row r="18">
      <c r="A18" s="3" t="inlineStr">
        <is>
          <t>Q24</t>
        </is>
      </c>
      <c r="B18" s="3" t="inlineStr">
        <is>
          <t>Purchase orders</t>
        </is>
      </c>
      <c r="C18" s="3" t="inlineStr">
        <is>
          <t>Laptop (manager)</t>
        </is>
      </c>
      <c r="D18" s="3" t="inlineStr">
        <is>
          <t>Another order: receive part, tick 'The rest will not come'</t>
        </is>
      </c>
      <c r="E18" s="3" t="inlineStr">
        <is>
          <t>Closed; 'short' shown; incoming back down</t>
        </is>
      </c>
      <c r="F18" s="3" t="inlineStr">
        <is>
          <t>Not tested</t>
        </is>
      </c>
      <c r="G18" s="3" t="inlineStr"/>
      <c r="H18" s="3" t="inlineStr"/>
      <c r="I18" s="3" t="inlineStr"/>
    </row>
    <row r="19">
      <c r="A19" s="3" t="inlineStr">
        <is>
          <t>Q25</t>
        </is>
      </c>
      <c r="B19" s="3" t="inlineStr">
        <is>
          <t>Purchase orders</t>
        </is>
      </c>
      <c r="C19" s="3" t="inlineStr">
        <is>
          <t>Laptop (manager)</t>
        </is>
      </c>
      <c r="D19" s="3" t="inlineStr">
        <is>
          <t>Order from Maple Snacks (USD)</t>
        </is>
      </c>
      <c r="E19" s="3" t="inlineStr">
        <is>
          <t>Shows USD, the rate and the CAD total</t>
        </is>
      </c>
      <c r="F19" s="3" t="inlineStr">
        <is>
          <t>Not tested</t>
        </is>
      </c>
      <c r="G19" s="3" t="inlineStr"/>
      <c r="H19" s="3" t="inlineStr"/>
      <c r="I19" s="3" t="inlineStr"/>
    </row>
    <row r="20">
      <c r="A20" s="3" t="inlineStr">
        <is>
          <t>Q26</t>
        </is>
      </c>
      <c r="B20" s="3" t="inlineStr">
        <is>
          <t>Reorder</t>
        </is>
      </c>
      <c r="C20" s="3" t="inlineStr">
        <is>
          <t>Laptop (manager)</t>
        </is>
      </c>
      <c r="D20" s="3" t="inlineStr">
        <is>
          <t>A product: reorder when stock falls to 50, order up to 100 (above its stock)</t>
        </is>
      </c>
      <c r="E20" s="3" t="inlineStr">
        <is>
          <t>Purchase orders lists it; Make the orders makes a draft for its vendor in whole cases up to 100</t>
        </is>
      </c>
      <c r="F20" s="3" t="inlineStr">
        <is>
          <t>Not tested</t>
        </is>
      </c>
      <c r="G20" s="3" t="inlineStr"/>
      <c r="H20" s="3" t="inlineStr"/>
      <c r="I20" s="3" t="inlineStr"/>
    </row>
    <row r="21">
      <c r="A21" s="3" t="inlineStr">
        <is>
          <t>Q30</t>
        </is>
      </c>
      <c r="B21" s="3" t="inlineStr">
        <is>
          <t>Bills</t>
        </is>
      </c>
      <c r="C21" s="3" t="inlineStr">
        <is>
          <t>Laptop (accountant)</t>
        </is>
      </c>
      <c r="D21" s="3" t="inlineStr">
        <is>
          <t>Buying → Bills and invoices → New bill: Coastal, their no. CB-1, two lines, GST, a photo</t>
        </is>
      </c>
      <c r="E21" s="3" t="inlineStr">
        <is>
          <t>B-… open, due from Coastal's 30 days, total with tax; the photo opens</t>
        </is>
      </c>
      <c r="F21" s="3" t="inlineStr">
        <is>
          <t>Not tested</t>
        </is>
      </c>
      <c r="G21" s="3" t="inlineStr"/>
      <c r="H21" s="3" t="inlineStr"/>
      <c r="I21" s="3" t="inlineStr"/>
    </row>
    <row r="22">
      <c r="A22" s="3" t="inlineStr">
        <is>
          <t>Q31</t>
        </is>
      </c>
      <c r="B22" s="3" t="inlineStr">
        <is>
          <t>Bills</t>
        </is>
      </c>
      <c r="C22" s="3" t="inlineStr">
        <is>
          <t>Laptop (accountant)</t>
        </is>
      </c>
      <c r="D22" s="3" t="inlineStr">
        <is>
          <t>Record a payment: part by cheque with its number</t>
        </is>
      </c>
      <c r="E22" s="3" t="inlineStr">
        <is>
          <t>Partly paid; the rest shown; the cheque on the bill</t>
        </is>
      </c>
      <c r="F22" s="3" t="inlineStr">
        <is>
          <t>Not tested</t>
        </is>
      </c>
      <c r="G22" s="3" t="inlineStr"/>
      <c r="H22" s="3" t="inlineStr"/>
      <c r="I22" s="3" t="inlineStr"/>
    </row>
    <row r="23">
      <c r="A23" s="3" t="inlineStr">
        <is>
          <t>Q32</t>
        </is>
      </c>
      <c r="B23" s="3" t="inlineStr">
        <is>
          <t>Bills</t>
        </is>
      </c>
      <c r="C23" s="3" t="inlineStr">
        <is>
          <t>Laptop (accountant)</t>
        </is>
      </c>
      <c r="D23" s="3" t="inlineStr">
        <is>
          <t>Vendor credit for Coastal, then apply it to the bill</t>
        </is>
      </c>
      <c r="E23" s="3" t="inlineStr">
        <is>
          <t>The credit is used; the bill's balance goes down</t>
        </is>
      </c>
      <c r="F23" s="3" t="inlineStr">
        <is>
          <t>Not tested</t>
        </is>
      </c>
      <c r="G23" s="3" t="inlineStr"/>
      <c r="H23" s="3" t="inlineStr"/>
      <c r="I23" s="3" t="inlineStr"/>
    </row>
    <row r="24">
      <c r="A24" s="3" t="inlineStr">
        <is>
          <t>Q33</t>
        </is>
      </c>
      <c r="B24" s="3" t="inlineStr">
        <is>
          <t>Bills</t>
        </is>
      </c>
      <c r="C24" s="3" t="inlineStr">
        <is>
          <t>Laptop (accountant)</t>
        </is>
      </c>
      <c r="D24" s="3" t="inlineStr">
        <is>
          <t>Take the credit payment off</t>
        </is>
      </c>
      <c r="E24" s="3" t="inlineStr">
        <is>
          <t>The bill and the credit are open again</t>
        </is>
      </c>
      <c r="F24" s="3" t="inlineStr">
        <is>
          <t>Not tested</t>
        </is>
      </c>
      <c r="G24" s="3" t="inlineStr"/>
      <c r="H24" s="3" t="inlineStr"/>
      <c r="I24" s="3" t="inlineStr"/>
    </row>
    <row r="25">
      <c r="A25" s="3" t="inlineStr">
        <is>
          <t>Q34</t>
        </is>
      </c>
      <c r="B25" s="3" t="inlineStr">
        <is>
          <t>Invoices</t>
        </is>
      </c>
      <c r="C25" s="3" t="inlineStr">
        <is>
          <t>Laptop (accountant)</t>
        </is>
      </c>
      <c r="D25" s="3" t="inlineStr">
        <is>
          <t>Owed to us → New invoice to Cafe Luna; record money received</t>
        </is>
      </c>
      <c r="E25" s="3" t="inlineStr">
        <is>
          <t>INV-…; aging; Statement shows invoice, payment, balance; PDF</t>
        </is>
      </c>
      <c r="F25" s="3" t="inlineStr">
        <is>
          <t>Not tested</t>
        </is>
      </c>
      <c r="G25" s="3" t="inlineStr"/>
      <c r="H25" s="3" t="inlineStr"/>
      <c r="I25" s="3" t="inlineStr"/>
    </row>
    <row r="26">
      <c r="A26" s="3" t="inlineStr">
        <is>
          <t>Q35</t>
        </is>
      </c>
      <c r="B26" s="3" t="inlineStr">
        <is>
          <t>Bills</t>
        </is>
      </c>
      <c r="C26" s="3" t="inlineStr">
        <is>
          <t>Laptop (manager)</t>
        </is>
      </c>
      <c r="D26" s="3" t="inlineStr">
        <is>
          <t>A received PO → Make the bill from what was received</t>
        </is>
      </c>
      <c r="E26" s="3" t="inlineStr">
        <is>
          <t>A bill with the received quantities; a bill for more than received says 'above what was received'</t>
        </is>
      </c>
      <c r="F26" s="3" t="inlineStr">
        <is>
          <t>Not tested</t>
        </is>
      </c>
      <c r="G26" s="3" t="inlineStr"/>
      <c r="H26" s="3" t="inlineStr"/>
      <c r="I26" s="3" t="inlineStr"/>
    </row>
    <row r="27">
      <c r="A27" s="3" t="inlineStr">
        <is>
          <t>Q36</t>
        </is>
      </c>
      <c r="B27" s="3" t="inlineStr">
        <is>
          <t>Vendor returns</t>
        </is>
      </c>
      <c r="C27" s="3" t="inlineStr">
        <is>
          <t>Laptop (manager)</t>
        </is>
      </c>
      <c r="D27" s="3" t="inlineStr">
        <is>
          <t>Returns to vendors → Send goods back: 2 damaged chips, RMA</t>
        </is>
      </c>
      <c r="E27" s="3" t="inlineStr">
        <is>
          <t>VR-…; stock down by 2 at once; Record their credit makes a vendor credit</t>
        </is>
      </c>
      <c r="F27" s="3" t="inlineStr">
        <is>
          <t>Not tested</t>
        </is>
      </c>
      <c r="G27" s="3" t="inlineStr"/>
      <c r="H27" s="3" t="inlineStr"/>
      <c r="I27" s="3" t="inlineStr"/>
    </row>
    <row r="28">
      <c r="A28" s="3" t="inlineStr">
        <is>
          <t>Q37</t>
        </is>
      </c>
      <c r="B28" s="3" t="inlineStr">
        <is>
          <t>Vendor returns</t>
        </is>
      </c>
      <c r="C28" s="3" t="inlineStr">
        <is>
          <t>Laptop (manager)</t>
        </is>
      </c>
      <c r="D28" s="3" t="inlineStr">
        <is>
          <t>Vendor performance</t>
        </is>
      </c>
      <c r="E28" s="3" t="inlineStr">
        <is>
          <t>On time, short and damaged % for vendors with received orders</t>
        </is>
      </c>
      <c r="F28" s="3" t="inlineStr">
        <is>
          <t>Not tested</t>
        </is>
      </c>
      <c r="G28" s="3" t="inlineStr"/>
      <c r="H28" s="3" t="inlineStr"/>
      <c r="I28" s="3" t="inlineStr"/>
    </row>
    <row r="29">
      <c r="A29" s="3" t="inlineStr">
        <is>
          <t>Q38</t>
        </is>
      </c>
      <c r="B29" s="3" t="inlineStr">
        <is>
          <t>Bills</t>
        </is>
      </c>
      <c r="C29" s="3" t="inlineStr">
        <is>
          <t>Phone (staff)</t>
        </is>
      </c>
      <c r="D29" s="3" t="inlineStr">
        <is>
          <t>Buying as Sam Staff</t>
        </is>
      </c>
      <c r="E29" s="3" t="inlineStr">
        <is>
          <t>No Bills and invoices tab</t>
        </is>
      </c>
      <c r="F29" s="3" t="inlineStr">
        <is>
          <t>Not tested</t>
        </is>
      </c>
      <c r="G29" s="3" t="inlineStr"/>
      <c r="H29" s="3" t="inlineStr"/>
      <c r="I29" s="3" t="inlineStr"/>
    </row>
    <row r="30">
      <c r="A30" s="3" t="inlineStr">
        <is>
          <t>Q40</t>
        </is>
      </c>
      <c r="B30" s="3" t="inlineStr">
        <is>
          <t>Bill photo</t>
        </is>
      </c>
      <c r="C30" s="3" t="inlineStr">
        <is>
          <t>iPhone (staff)</t>
        </is>
      </c>
      <c r="D30" s="3" t="inlineStr">
        <is>
          <t>Add stock → read the vendor's bill → Coastal → 📷 a printed bill</t>
        </is>
      </c>
      <c r="E30" s="3" t="inlineStr">
        <is>
          <t>'Reading the photo…', then the lines with products matched (their code / barcode / by name) and the totals</t>
        </is>
      </c>
      <c r="F30" s="3" t="inlineStr">
        <is>
          <t>Not tested</t>
        </is>
      </c>
      <c r="G30" s="3" t="inlineStr"/>
      <c r="H30" s="3" t="inlineStr"/>
      <c r="I30" s="3" t="inlineStr"/>
    </row>
    <row r="31">
      <c r="A31" s="3" t="inlineStr">
        <is>
          <t>Q41</t>
        </is>
      </c>
      <c r="B31" s="3" t="inlineStr">
        <is>
          <t>Bill photo</t>
        </is>
      </c>
      <c r="C31" s="3" t="inlineStr">
        <is>
          <t>iPhone</t>
        </is>
      </c>
      <c r="D31" s="3" t="inlineStr">
        <is>
          <t>A line not matched: type to search, pick the product</t>
        </is>
      </c>
      <c r="E31" s="3" t="inlineStr">
        <is>
          <t>Matched; Receive into stock adds the stock</t>
        </is>
      </c>
      <c r="F31" s="3" t="inlineStr">
        <is>
          <t>Not tested</t>
        </is>
      </c>
      <c r="G31" s="3" t="inlineStr"/>
      <c r="H31" s="3" t="inlineStr"/>
      <c r="I31" s="3" t="inlineStr"/>
    </row>
    <row r="32">
      <c r="A32" s="3" t="inlineStr">
        <is>
          <t>Q42</t>
        </is>
      </c>
      <c r="B32" s="3" t="inlineStr">
        <is>
          <t>Bill photo</t>
        </is>
      </c>
      <c r="C32" s="3" t="inlineStr">
        <is>
          <t>iPhone</t>
        </is>
      </c>
      <c r="D32" s="3" t="inlineStr">
        <is>
          <t>Another bill from Coastal with the same item</t>
        </is>
      </c>
      <c r="E32" s="3" t="inlineStr">
        <is>
          <t>That line is matched by itself ('remembered')</t>
        </is>
      </c>
      <c r="F32" s="3" t="inlineStr">
        <is>
          <t>Not tested</t>
        </is>
      </c>
      <c r="G32" s="3" t="inlineStr"/>
      <c r="H32" s="3" t="inlineStr"/>
      <c r="I32" s="3" t="inlineStr"/>
    </row>
    <row r="33">
      <c r="A33" s="3" t="inlineStr">
        <is>
          <t>Q43</t>
        </is>
      </c>
      <c r="B33" s="3" t="inlineStr">
        <is>
          <t>Bill photo</t>
        </is>
      </c>
      <c r="C33" s="3" t="inlineStr">
        <is>
          <t>Laptop (manager)</t>
        </is>
      </c>
      <c r="D33" s="3" t="inlineStr">
        <is>
          <t>A PDF bill for an open order; freight on the bill; tick 'Also record the bill'</t>
        </is>
      </c>
      <c r="E33" s="3" t="inlineStr">
        <is>
          <t>Order suggested, lines 'as ordered'; freight filled in; order received; bill B-… with freight as a line</t>
        </is>
      </c>
      <c r="F33" s="3" t="inlineStr">
        <is>
          <t>Not tested</t>
        </is>
      </c>
      <c r="G33" s="3" t="inlineStr"/>
      <c r="H33" s="3" t="inlineStr"/>
      <c r="I33" s="3" t="inlineStr"/>
    </row>
    <row r="34">
      <c r="A34" s="3" t="inlineStr">
        <is>
          <t>Q44</t>
        </is>
      </c>
      <c r="B34" s="3" t="inlineStr">
        <is>
          <t>Landed cost</t>
        </is>
      </c>
      <c r="C34" s="3" t="inlineStr">
        <is>
          <t>Laptop (manager)</t>
        </is>
      </c>
      <c r="D34" s="3" t="inlineStr">
        <is>
          <t>Receive an order by hand with Freight 10.00</t>
        </is>
      </c>
      <c r="E34" s="3" t="inlineStr">
        <is>
          <t>Each item's cost (Stock → the product → lots) includes its share of the $10 by value</t>
        </is>
      </c>
      <c r="F34" s="3" t="inlineStr">
        <is>
          <t>Not tested</t>
        </is>
      </c>
      <c r="G34" s="3" t="inlineStr"/>
      <c r="H34" s="3" t="inlineStr"/>
      <c r="I34" s="3" t="inlineStr"/>
    </row>
    <row r="35">
      <c r="A35" s="3" t="inlineStr">
        <is>
          <t>Q45</t>
        </is>
      </c>
      <c r="B35" s="3" t="inlineStr">
        <is>
          <t>Bill photo</t>
        </is>
      </c>
      <c r="C35" s="3" t="inlineStr">
        <is>
          <t>Laptop</t>
        </is>
      </c>
      <c r="D35" s="3" t="inlineStr">
        <is>
          <t>A bill whose lines do not add up</t>
        </is>
      </c>
      <c r="E35" s="3" t="inlineStr">
        <is>
          <t>A warning saying by how much</t>
        </is>
      </c>
      <c r="F35" s="3" t="inlineStr">
        <is>
          <t>Not tested</t>
        </is>
      </c>
      <c r="G35" s="3" t="inlineStr"/>
      <c r="H35" s="3" t="inlineStr"/>
      <c r="I35" s="3" t="inlineStr"/>
    </row>
    <row r="36">
      <c r="A36" s="3" t="inlineStr">
        <is>
          <t>Q50</t>
        </is>
      </c>
      <c r="B36" s="3" t="inlineStr">
        <is>
          <t>Expenses</t>
        </is>
      </c>
      <c r="C36" s="3" t="inlineStr">
        <is>
          <t>iPhone (staff)</t>
        </is>
      </c>
      <c r="D36" s="3" t="inlineStr">
        <is>
          <t>Expenses → New claim: Home Depot, $23.50 with GST, own money, 📷 the receipt</t>
        </is>
      </c>
      <c r="E36" s="3" t="inlineStr">
        <is>
          <t>EX-… waiting; shown under My claims with the photo</t>
        </is>
      </c>
      <c r="F36" s="3" t="inlineStr">
        <is>
          <t>Not tested</t>
        </is>
      </c>
      <c r="G36" s="3" t="inlineStr"/>
      <c r="H36" s="3" t="inlineStr"/>
      <c r="I36" s="3" t="inlineStr"/>
    </row>
    <row r="37">
      <c r="A37" s="3" t="inlineStr">
        <is>
          <t>Q51</t>
        </is>
      </c>
      <c r="B37" s="3" t="inlineStr">
        <is>
          <t>Expenses</t>
        </is>
      </c>
      <c r="C37" s="3" t="inlineStr">
        <is>
          <t>Till (cashier)</t>
        </is>
      </c>
      <c r="D37" s="3" t="inlineStr">
        <is>
          <t>The same amount and place without a photo</t>
        </is>
      </c>
      <c r="E37" s="3" t="inlineStr">
        <is>
          <t>Flags: 'same as EX-…?' and 'no receipt photo'</t>
        </is>
      </c>
      <c r="F37" s="3" t="inlineStr">
        <is>
          <t>Not tested</t>
        </is>
      </c>
      <c r="G37" s="3" t="inlineStr"/>
      <c r="H37" s="3" t="inlineStr"/>
      <c r="I37" s="3" t="inlineStr"/>
    </row>
    <row r="38">
      <c r="A38" s="3" t="inlineStr">
        <is>
          <t>Q52</t>
        </is>
      </c>
      <c r="B38" s="3" t="inlineStr">
        <is>
          <t>Expenses</t>
        </is>
      </c>
      <c r="C38" s="3" t="inlineStr">
        <is>
          <t>Laptop (accountant)</t>
        </is>
      </c>
      <c r="D38" s="3" t="inlineStr">
        <is>
          <t>All claims: reject the duplicate with a reason; approve the first</t>
        </is>
      </c>
      <c r="E38" s="3" t="inlineStr">
        <is>
          <t>Rejected / Approved, to pay back</t>
        </is>
      </c>
      <c r="F38" s="3" t="inlineStr">
        <is>
          <t>Not tested</t>
        </is>
      </c>
      <c r="G38" s="3" t="inlineStr"/>
      <c r="H38" s="3" t="inlineStr"/>
      <c r="I38" s="3" t="inlineStr"/>
    </row>
    <row r="39">
      <c r="A39" s="3" t="inlineStr">
        <is>
          <t>Q53</t>
        </is>
      </c>
      <c r="B39" s="3" t="inlineStr">
        <is>
          <t>Expenses</t>
        </is>
      </c>
      <c r="C39" s="3" t="inlineStr">
        <is>
          <t>Laptop (manager)</t>
        </is>
      </c>
      <c r="D39" s="3" t="inlineStr">
        <is>
          <t>Pay back → Cash from the till (a till is open)</t>
        </is>
      </c>
      <c r="E39" s="3" t="inlineStr">
        <is>
          <t>Done; the till's Z report shows the pay-out</t>
        </is>
      </c>
      <c r="F39" s="3" t="inlineStr">
        <is>
          <t>Not tested</t>
        </is>
      </c>
      <c r="G39" s="3" t="inlineStr"/>
      <c r="H39" s="3" t="inlineStr"/>
      <c r="I39" s="3" t="inlineStr"/>
    </row>
    <row r="40">
      <c r="A40" s="3" t="inlineStr">
        <is>
          <t>Q54</t>
        </is>
      </c>
      <c r="B40" s="3" t="inlineStr">
        <is>
          <t>Expenses</t>
        </is>
      </c>
      <c r="C40" s="3" t="inlineStr">
        <is>
          <t>Laptop (manager)</t>
        </is>
      </c>
      <c r="D40" s="3" t="inlineStr">
        <is>
          <t>Your own claim: Approve</t>
        </is>
      </c>
      <c r="E40" s="3" t="inlineStr">
        <is>
          <t>Refused: someone else approves it</t>
        </is>
      </c>
      <c r="F40" s="3" t="inlineStr">
        <is>
          <t>Not tested</t>
        </is>
      </c>
      <c r="G40" s="3" t="inlineStr"/>
      <c r="H40" s="3" t="inlineStr"/>
      <c r="I40" s="3" t="inlineStr"/>
    </row>
    <row r="41">
      <c r="A41" s="3" t="inlineStr">
        <is>
          <t>Q55</t>
        </is>
      </c>
      <c r="B41" s="3" t="inlineStr">
        <is>
          <t>Petty cash</t>
        </is>
      </c>
      <c r="C41" s="3" t="inlineStr">
        <is>
          <t>Laptop (manager)</t>
        </is>
      </c>
      <c r="D41" s="3" t="inlineStr">
        <is>
          <t>Petty cash → Top up 200; a claim paid from the box (5.00); Count 194.00</t>
        </is>
      </c>
      <c r="E41" s="3" t="inlineStr">
        <is>
          <t>Box 200 → 195 → count 'Short 1.00', balance 194</t>
        </is>
      </c>
      <c r="F41" s="3" t="inlineStr">
        <is>
          <t>Not tested</t>
        </is>
      </c>
      <c r="G41" s="3" t="inlineStr"/>
      <c r="H41" s="3" t="inlineStr"/>
      <c r="I41" s="3" t="inlineStr"/>
    </row>
    <row r="42">
      <c r="A42" s="3" t="inlineStr">
        <is>
          <t>Q60</t>
        </is>
      </c>
      <c r="B42" s="3" t="inlineStr">
        <is>
          <t>Layaway</t>
        </is>
      </c>
      <c r="C42" s="3" t="inlineStr">
        <is>
          <t>Till</t>
        </is>
      </c>
      <c r="D42" s="3" t="inlineStr">
        <is>
          <t>Customer orders → New layaway: Rita, phone, 2 items, deposit 20% cash</t>
        </is>
      </c>
      <c r="E42" s="3" t="inlineStr">
        <is>
          <t>LA-… open, goods kept aside (Stock shows reserved); the till's expected cash includes the deposit</t>
        </is>
      </c>
      <c r="F42" s="3" t="inlineStr">
        <is>
          <t>Not tested</t>
        </is>
      </c>
      <c r="G42" s="3" t="inlineStr"/>
      <c r="H42" s="3" t="inlineStr"/>
      <c r="I42" s="3" t="inlineStr"/>
    </row>
    <row r="43">
      <c r="A43" s="3" t="inlineStr">
        <is>
          <t>Q61</t>
        </is>
      </c>
      <c r="B43" s="3" t="inlineStr">
        <is>
          <t>Layaway</t>
        </is>
      </c>
      <c r="C43" s="3" t="inlineStr">
        <is>
          <t>Till</t>
        </is>
      </c>
      <c r="D43" s="3" t="inlineStr">
        <is>
          <t>Take a payment by card; then Ring up at the till</t>
        </is>
      </c>
      <c r="E43" s="3" t="inlineStr">
        <is>
          <t>Sell shows the order's lines and 'the deposit … is used'; Pay starts with Deposit; finish by card; the order is Picked up</t>
        </is>
      </c>
      <c r="F43" s="3" t="inlineStr">
        <is>
          <t>Not tested</t>
        </is>
      </c>
      <c r="G43" s="3" t="inlineStr"/>
      <c r="H43" s="3" t="inlineStr"/>
      <c r="I43" s="3" t="inlineStr"/>
    </row>
    <row r="44">
      <c r="A44" s="3" t="inlineStr">
        <is>
          <t>Q62</t>
        </is>
      </c>
      <c r="B44" s="3" t="inlineStr">
        <is>
          <t>Layaway</t>
        </is>
      </c>
      <c r="C44" s="3" t="inlineStr">
        <is>
          <t>Till</t>
        </is>
      </c>
      <c r="D44" s="3" t="inlineStr">
        <is>
          <t>Another layaway → Cancel → give the deposit back in cash</t>
        </is>
      </c>
      <c r="E44" s="3" t="inlineStr">
        <is>
          <t>Cancelled; the drawer's expected cash goes down; reservation released</t>
        </is>
      </c>
      <c r="F44" s="3" t="inlineStr">
        <is>
          <t>Not tested</t>
        </is>
      </c>
      <c r="G44" s="3" t="inlineStr"/>
      <c r="H44" s="3" t="inlineStr"/>
      <c r="I44" s="3" t="inlineStr"/>
    </row>
    <row r="45">
      <c r="A45" s="3" t="inlineStr">
        <is>
          <t>Q63</t>
        </is>
      </c>
      <c r="B45" s="3" t="inlineStr">
        <is>
          <t>Special order</t>
        </is>
      </c>
      <c r="C45" s="3" t="inlineStr">
        <is>
          <t>Till</t>
        </is>
      </c>
      <c r="D45" s="3" t="inlineStr">
        <is>
          <t>New special order (24 chocolate bars) → Ordered → Arrived</t>
        </is>
      </c>
      <c r="E45" s="3" t="inlineStr">
        <is>
          <t>Ready for pickup; reserved only once arrived; Ring up works then</t>
        </is>
      </c>
      <c r="F45" s="3" t="inlineStr">
        <is>
          <t>Not tested</t>
        </is>
      </c>
      <c r="G45" s="3" t="inlineStr"/>
      <c r="H45" s="3" t="inlineStr"/>
      <c r="I45" s="3" t="inlineStr"/>
    </row>
    <row r="46">
      <c r="A46" s="3" t="inlineStr">
        <is>
          <t>Q64</t>
        </is>
      </c>
      <c r="B46" s="3" t="inlineStr">
        <is>
          <t>Quote</t>
        </is>
      </c>
      <c r="C46" s="3" t="inlineStr">
        <is>
          <t>Laptop (manager)</t>
        </is>
      </c>
      <c r="D46" s="3" t="inlineStr">
        <is>
          <t>New quote for Cafe Luna at a lower agreed price; PDF; Make it an invoice</t>
        </is>
      </c>
      <c r="E46" s="3" t="inlineStr">
        <is>
          <t>QT-… PDF; turned into INV-… for Luna</t>
        </is>
      </c>
      <c r="F46" s="3" t="inlineStr">
        <is>
          <t>Not tested</t>
        </is>
      </c>
      <c r="G46" s="3" t="inlineStr"/>
      <c r="H46" s="3" t="inlineStr"/>
      <c r="I46" s="3" t="inlineStr"/>
    </row>
    <row r="47">
      <c r="A47" s="3" t="inlineStr">
        <is>
          <t>Q65</t>
        </is>
      </c>
      <c r="B47" s="3" t="inlineStr">
        <is>
          <t>Quote</t>
        </is>
      </c>
      <c r="C47" s="3" t="inlineStr">
        <is>
          <t>Till</t>
        </is>
      </c>
      <c r="D47" s="3" t="inlineStr">
        <is>
          <t>A quote → Ring up at the till</t>
        </is>
      </c>
      <c r="E47" s="3" t="inlineStr">
        <is>
          <t>The agreed price shows as an override with the quote as the reason</t>
        </is>
      </c>
      <c r="F47" s="3" t="inlineStr">
        <is>
          <t>Not tested</t>
        </is>
      </c>
      <c r="G47" s="3" t="inlineStr"/>
      <c r="H47" s="3" t="inlineStr"/>
      <c r="I47" s="3" t="inlineStr"/>
    </row>
    <row r="48">
      <c r="A48" s="3" t="inlineStr">
        <is>
          <t>Q66</t>
        </is>
      </c>
      <c r="B48" s="3" t="inlineStr">
        <is>
          <t>House account</t>
        </is>
      </c>
      <c r="C48" s="3" t="inlineStr">
        <is>
          <t>Till</t>
        </is>
      </c>
      <c r="D48" s="3" t="inlineStr">
        <is>
          <t>Sell → Pay → On account → Cafe Luna</t>
        </is>
      </c>
      <c r="E48" s="3" t="inlineStr">
        <is>
          <t>Sale done; an invoice INV-… for Luna (Bills and invoices); over the limit is refused</t>
        </is>
      </c>
      <c r="F48" s="3" t="inlineStr">
        <is>
          <t>Not tested</t>
        </is>
      </c>
      <c r="G48" s="3" t="inlineStr"/>
      <c r="H48" s="3" t="inlineStr"/>
      <c r="I48" s="3" t="inlineStr"/>
    </row>
  </sheetData>
  <autoFilter ref="A1:I48"/>
  <conditionalFormatting sqref="F2:F4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1">
    <dataValidation sqref="F2:F48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Area</t>
        </is>
      </c>
      <c r="B1" s="4" t="inlineStr">
        <is>
          <t>Checks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tested</t>
        </is>
      </c>
    </row>
    <row r="2">
      <c r="A2" t="inlineStr">
        <is>
          <t>Parties</t>
        </is>
      </c>
      <c r="B2">
        <f>COUNTIF(Tests!B:B,A2)</f>
        <v/>
      </c>
      <c r="C2">
        <f>COUNTIFS(Tests!B:B,A2,Tests!F:F,"Pass")</f>
        <v/>
      </c>
      <c r="D2">
        <f>COUNTIFS(Tests!B:B,A2,Tests!F:F,"Fail")</f>
        <v/>
      </c>
      <c r="E2">
        <f>COUNTIFS(Tests!B:B,A2,Tests!F:F,"Blocked")</f>
        <v/>
      </c>
      <c r="F2">
        <f>COUNTIFS(Tests!B:B,A2,Tests!F:F,"Not tested")</f>
        <v/>
      </c>
    </row>
    <row r="3">
      <c r="A3" t="inlineStr">
        <is>
          <t>Vendor prices</t>
        </is>
      </c>
      <c r="B3">
        <f>COUNTIF(Tests!B:B,A3)</f>
        <v/>
      </c>
      <c r="C3">
        <f>COUNTIFS(Tests!B:B,A3,Tests!F:F,"Pass")</f>
        <v/>
      </c>
      <c r="D3">
        <f>COUNTIFS(Tests!B:B,A3,Tests!F:F,"Fail")</f>
        <v/>
      </c>
      <c r="E3">
        <f>COUNTIFS(Tests!B:B,A3,Tests!F:F,"Blocked")</f>
        <v/>
      </c>
      <c r="F3">
        <f>COUNTIFS(Tests!B:B,A3,Tests!F:F,"Not tested")</f>
        <v/>
      </c>
    </row>
    <row r="4">
      <c r="A4" t="inlineStr">
        <is>
          <t>Price list</t>
        </is>
      </c>
      <c r="B4">
        <f>COUNTIF(Tests!B:B,A4)</f>
        <v/>
      </c>
      <c r="C4">
        <f>COUNTIFS(Tests!B:B,A4,Tests!F:F,"Pass")</f>
        <v/>
      </c>
      <c r="D4">
        <f>COUNTIFS(Tests!B:B,A4,Tests!F:F,"Fail")</f>
        <v/>
      </c>
      <c r="E4">
        <f>COUNTIFS(Tests!B:B,A4,Tests!F:F,"Blocked")</f>
        <v/>
      </c>
      <c r="F4">
        <f>COUNTIFS(Tests!B:B,A4,Tests!F:F,"Not tested")</f>
        <v/>
      </c>
    </row>
    <row r="5">
      <c r="A5" t="inlineStr">
        <is>
          <t>Compare</t>
        </is>
      </c>
      <c r="B5">
        <f>COUNTIF(Tests!B:B,A5)</f>
        <v/>
      </c>
      <c r="C5">
        <f>COUNTIFS(Tests!B:B,A5,Tests!F:F,"Pass")</f>
        <v/>
      </c>
      <c r="D5">
        <f>COUNTIFS(Tests!B:B,A5,Tests!F:F,"Fail")</f>
        <v/>
      </c>
      <c r="E5">
        <f>COUNTIFS(Tests!B:B,A5,Tests!F:F,"Blocked")</f>
        <v/>
      </c>
      <c r="F5">
        <f>COUNTIFS(Tests!B:B,A5,Tests!F:F,"Not tested")</f>
        <v/>
      </c>
    </row>
    <row r="6">
      <c r="A6" t="inlineStr">
        <is>
          <t>Purchase orders</t>
        </is>
      </c>
      <c r="B6">
        <f>COUNTIF(Tests!B:B,A6)</f>
        <v/>
      </c>
      <c r="C6">
        <f>COUNTIFS(Tests!B:B,A6,Tests!F:F,"Pass")</f>
        <v/>
      </c>
      <c r="D6">
        <f>COUNTIFS(Tests!B:B,A6,Tests!F:F,"Fail")</f>
        <v/>
      </c>
      <c r="E6">
        <f>COUNTIFS(Tests!B:B,A6,Tests!F:F,"Blocked")</f>
        <v/>
      </c>
      <c r="F6">
        <f>COUNTIFS(Tests!B:B,A6,Tests!F:F,"Not tested")</f>
        <v/>
      </c>
    </row>
    <row r="7">
      <c r="A7" t="inlineStr">
        <is>
          <t>Reorder</t>
        </is>
      </c>
      <c r="B7">
        <f>COUNTIF(Tests!B:B,A7)</f>
        <v/>
      </c>
      <c r="C7">
        <f>COUNTIFS(Tests!B:B,A7,Tests!F:F,"Pass")</f>
        <v/>
      </c>
      <c r="D7">
        <f>COUNTIFS(Tests!B:B,A7,Tests!F:F,"Fail")</f>
        <v/>
      </c>
      <c r="E7">
        <f>COUNTIFS(Tests!B:B,A7,Tests!F:F,"Blocked")</f>
        <v/>
      </c>
      <c r="F7">
        <f>COUNTIFS(Tests!B:B,A7,Tests!F:F,"Not tested")</f>
        <v/>
      </c>
    </row>
    <row r="8">
      <c r="A8" t="inlineStr">
        <is>
          <t>Bills</t>
        </is>
      </c>
      <c r="B8">
        <f>COUNTIF(Tests!B:B,A8)</f>
        <v/>
      </c>
      <c r="C8">
        <f>COUNTIFS(Tests!B:B,A8,Tests!F:F,"Pass")</f>
        <v/>
      </c>
      <c r="D8">
        <f>COUNTIFS(Tests!B:B,A8,Tests!F:F,"Fail")</f>
        <v/>
      </c>
      <c r="E8">
        <f>COUNTIFS(Tests!B:B,A8,Tests!F:F,"Blocked")</f>
        <v/>
      </c>
      <c r="F8">
        <f>COUNTIFS(Tests!B:B,A8,Tests!F:F,"Not tested")</f>
        <v/>
      </c>
    </row>
    <row r="9">
      <c r="A9" t="inlineStr">
        <is>
          <t>Invoices</t>
        </is>
      </c>
      <c r="B9">
        <f>COUNTIF(Tests!B:B,A9)</f>
        <v/>
      </c>
      <c r="C9">
        <f>COUNTIFS(Tests!B:B,A9,Tests!F:F,"Pass")</f>
        <v/>
      </c>
      <c r="D9">
        <f>COUNTIFS(Tests!B:B,A9,Tests!F:F,"Fail")</f>
        <v/>
      </c>
      <c r="E9">
        <f>COUNTIFS(Tests!B:B,A9,Tests!F:F,"Blocked")</f>
        <v/>
      </c>
      <c r="F9">
        <f>COUNTIFS(Tests!B:B,A9,Tests!F:F,"Not tested")</f>
        <v/>
      </c>
    </row>
    <row r="10">
      <c r="A10" t="inlineStr">
        <is>
          <t>Vendor returns</t>
        </is>
      </c>
      <c r="B10">
        <f>COUNTIF(Tests!B:B,A10)</f>
        <v/>
      </c>
      <c r="C10">
        <f>COUNTIFS(Tests!B:B,A10,Tests!F:F,"Pass")</f>
        <v/>
      </c>
      <c r="D10">
        <f>COUNTIFS(Tests!B:B,A10,Tests!F:F,"Fail")</f>
        <v/>
      </c>
      <c r="E10">
        <f>COUNTIFS(Tests!B:B,A10,Tests!F:F,"Blocked")</f>
        <v/>
      </c>
      <c r="F10">
        <f>COUNTIFS(Tests!B:B,A10,Tests!F:F,"Not tested")</f>
        <v/>
      </c>
    </row>
    <row r="11">
      <c r="A11" t="inlineStr">
        <is>
          <t>Bill photo</t>
        </is>
      </c>
      <c r="B11">
        <f>COUNTIF(Tests!B:B,A11)</f>
        <v/>
      </c>
      <c r="C11">
        <f>COUNTIFS(Tests!B:B,A11,Tests!F:F,"Pass")</f>
        <v/>
      </c>
      <c r="D11">
        <f>COUNTIFS(Tests!B:B,A11,Tests!F:F,"Fail")</f>
        <v/>
      </c>
      <c r="E11">
        <f>COUNTIFS(Tests!B:B,A11,Tests!F:F,"Blocked")</f>
        <v/>
      </c>
      <c r="F11">
        <f>COUNTIFS(Tests!B:B,A11,Tests!F:F,"Not tested")</f>
        <v/>
      </c>
    </row>
    <row r="12">
      <c r="A12" t="inlineStr">
        <is>
          <t>Landed cost</t>
        </is>
      </c>
      <c r="B12">
        <f>COUNTIF(Tests!B:B,A12)</f>
        <v/>
      </c>
      <c r="C12">
        <f>COUNTIFS(Tests!B:B,A12,Tests!F:F,"Pass")</f>
        <v/>
      </c>
      <c r="D12">
        <f>COUNTIFS(Tests!B:B,A12,Tests!F:F,"Fail")</f>
        <v/>
      </c>
      <c r="E12">
        <f>COUNTIFS(Tests!B:B,A12,Tests!F:F,"Blocked")</f>
        <v/>
      </c>
      <c r="F12">
        <f>COUNTIFS(Tests!B:B,A12,Tests!F:F,"Not tested")</f>
        <v/>
      </c>
    </row>
    <row r="13">
      <c r="A13" t="inlineStr">
        <is>
          <t>Expenses</t>
        </is>
      </c>
      <c r="B13">
        <f>COUNTIF(Tests!B:B,A13)</f>
        <v/>
      </c>
      <c r="C13">
        <f>COUNTIFS(Tests!B:B,A13,Tests!F:F,"Pass")</f>
        <v/>
      </c>
      <c r="D13">
        <f>COUNTIFS(Tests!B:B,A13,Tests!F:F,"Fail")</f>
        <v/>
      </c>
      <c r="E13">
        <f>COUNTIFS(Tests!B:B,A13,Tests!F:F,"Blocked")</f>
        <v/>
      </c>
      <c r="F13">
        <f>COUNTIFS(Tests!B:B,A13,Tests!F:F,"Not tested")</f>
        <v/>
      </c>
    </row>
    <row r="14">
      <c r="A14" t="inlineStr">
        <is>
          <t>Petty cash</t>
        </is>
      </c>
      <c r="B14">
        <f>COUNTIF(Tests!B:B,A14)</f>
        <v/>
      </c>
      <c r="C14">
        <f>COUNTIFS(Tests!B:B,A14,Tests!F:F,"Pass")</f>
        <v/>
      </c>
      <c r="D14">
        <f>COUNTIFS(Tests!B:B,A14,Tests!F:F,"Fail")</f>
        <v/>
      </c>
      <c r="E14">
        <f>COUNTIFS(Tests!B:B,A14,Tests!F:F,"Blocked")</f>
        <v/>
      </c>
      <c r="F14">
        <f>COUNTIFS(Tests!B:B,A14,Tests!F:F,"Not tested")</f>
        <v/>
      </c>
    </row>
    <row r="15">
      <c r="A15" t="inlineStr">
        <is>
          <t>Layaway</t>
        </is>
      </c>
      <c r="B15">
        <f>COUNTIF(Tests!B:B,A15)</f>
        <v/>
      </c>
      <c r="C15">
        <f>COUNTIFS(Tests!B:B,A15,Tests!F:F,"Pass")</f>
        <v/>
      </c>
      <c r="D15">
        <f>COUNTIFS(Tests!B:B,A15,Tests!F:F,"Fail")</f>
        <v/>
      </c>
      <c r="E15">
        <f>COUNTIFS(Tests!B:B,A15,Tests!F:F,"Blocked")</f>
        <v/>
      </c>
      <c r="F15">
        <f>COUNTIFS(Tests!B:B,A15,Tests!F:F,"Not tested")</f>
        <v/>
      </c>
    </row>
    <row r="16">
      <c r="A16" t="inlineStr">
        <is>
          <t>Special order</t>
        </is>
      </c>
      <c r="B16">
        <f>COUNTIF(Tests!B:B,A16)</f>
        <v/>
      </c>
      <c r="C16">
        <f>COUNTIFS(Tests!B:B,A16,Tests!F:F,"Pass")</f>
        <v/>
      </c>
      <c r="D16">
        <f>COUNTIFS(Tests!B:B,A16,Tests!F:F,"Fail")</f>
        <v/>
      </c>
      <c r="E16">
        <f>COUNTIFS(Tests!B:B,A16,Tests!F:F,"Blocked")</f>
        <v/>
      </c>
      <c r="F16">
        <f>COUNTIFS(Tests!B:B,A16,Tests!F:F,"Not tested")</f>
        <v/>
      </c>
    </row>
    <row r="17">
      <c r="A17" t="inlineStr">
        <is>
          <t>Quote</t>
        </is>
      </c>
      <c r="B17">
        <f>COUNTIF(Tests!B:B,A17)</f>
        <v/>
      </c>
      <c r="C17">
        <f>COUNTIFS(Tests!B:B,A17,Tests!F:F,"Pass")</f>
        <v/>
      </c>
      <c r="D17">
        <f>COUNTIFS(Tests!B:B,A17,Tests!F:F,"Fail")</f>
        <v/>
      </c>
      <c r="E17">
        <f>COUNTIFS(Tests!B:B,A17,Tests!F:F,"Blocked")</f>
        <v/>
      </c>
      <c r="F17">
        <f>COUNTIFS(Tests!B:B,A17,Tests!F:F,"Not tested")</f>
        <v/>
      </c>
    </row>
    <row r="18">
      <c r="A18" t="inlineStr">
        <is>
          <t>House account</t>
        </is>
      </c>
      <c r="B18">
        <f>COUNTIF(Tests!B:B,A18)</f>
        <v/>
      </c>
      <c r="C18">
        <f>COUNTIFS(Tests!B:B,A18,Tests!F:F,"Pass")</f>
        <v/>
      </c>
      <c r="D18">
        <f>COUNTIFS(Tests!B:B,A18,Tests!F:F,"Fail")</f>
        <v/>
      </c>
      <c r="E18">
        <f>COUNTIFS(Tests!B:B,A18,Tests!F:F,"Blocked")</f>
        <v/>
      </c>
      <c r="F18">
        <f>COUNTIFS(Tests!B:B,A18,Tests!F:F,"Not tested")</f>
        <v/>
      </c>
    </row>
    <row r="19">
      <c r="A19" s="5" t="inlineStr">
        <is>
          <t>All</t>
        </is>
      </c>
      <c r="B19" s="5">
        <f>SUM(B2:B18)</f>
        <v/>
      </c>
      <c r="C19" s="5">
        <f>SUM(C2:C18)</f>
        <v/>
      </c>
      <c r="D19" s="5">
        <f>SUM(D2:D18)</f>
        <v/>
      </c>
      <c r="E19" s="5">
        <f>SUM(E2:E18)</f>
        <v/>
      </c>
      <c r="F19" s="5">
        <f>SUM(F2:F18)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2026-10-10T15:44:09Z</dcterms:created>
  <dcterms:modified xsi:type="dcterms:W3CDTF">2026-10-10T15:44:09Z</dcterms:modified>
</cp:coreProperties>
</file>