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Q30</t>
        </is>
      </c>
      <c r="B21" s="3" t="inlineStr">
        <is>
          <t>Bills</t>
        </is>
      </c>
      <c r="C21" s="3" t="inlineStr">
        <is>
          <t>Laptop (accountant)</t>
        </is>
      </c>
      <c r="D21" s="3" t="inlineStr">
        <is>
          <t>Buying → Bills and invoices → New bill: Coastal, their no. CB-1, two lines, GST, a photo</t>
        </is>
      </c>
      <c r="E21" s="3" t="inlineStr">
        <is>
          <t>B-… open, due from Coastal's 30 days, total with tax; the photo opens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Q31</t>
        </is>
      </c>
      <c r="B22" s="3" t="inlineStr">
        <is>
          <t>Bills</t>
        </is>
      </c>
      <c r="C22" s="3" t="inlineStr">
        <is>
          <t>Laptop (accountant)</t>
        </is>
      </c>
      <c r="D22" s="3" t="inlineStr">
        <is>
          <t>Record a payment: part by cheque with its number</t>
        </is>
      </c>
      <c r="E22" s="3" t="inlineStr">
        <is>
          <t>Partly paid; the rest shown; the cheque on the bill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Q32</t>
        </is>
      </c>
      <c r="B23" s="3" t="inlineStr">
        <is>
          <t>Bills</t>
        </is>
      </c>
      <c r="C23" s="3" t="inlineStr">
        <is>
          <t>Laptop (accountant)</t>
        </is>
      </c>
      <c r="D23" s="3" t="inlineStr">
        <is>
          <t>Vendor credit for Coastal, then apply it to the bill</t>
        </is>
      </c>
      <c r="E23" s="3" t="inlineStr">
        <is>
          <t>The credit is used; the bill's balance goes down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Q33</t>
        </is>
      </c>
      <c r="B24" s="3" t="inlineStr">
        <is>
          <t>Bills</t>
        </is>
      </c>
      <c r="C24" s="3" t="inlineStr">
        <is>
          <t>Laptop (accountant)</t>
        </is>
      </c>
      <c r="D24" s="3" t="inlineStr">
        <is>
          <t>Take the credit payment off</t>
        </is>
      </c>
      <c r="E24" s="3" t="inlineStr">
        <is>
          <t>The bill and the credit are open again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Q34</t>
        </is>
      </c>
      <c r="B25" s="3" t="inlineStr">
        <is>
          <t>Invoices</t>
        </is>
      </c>
      <c r="C25" s="3" t="inlineStr">
        <is>
          <t>Laptop (accountant)</t>
        </is>
      </c>
      <c r="D25" s="3" t="inlineStr">
        <is>
          <t>Owed to us → New invoice to Cafe Luna; record money received</t>
        </is>
      </c>
      <c r="E25" s="3" t="inlineStr">
        <is>
          <t>INV-…; aging; Statement shows invoice, payment, balance; PDF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Q35</t>
        </is>
      </c>
      <c r="B26" s="3" t="inlineStr">
        <is>
          <t>Bills</t>
        </is>
      </c>
      <c r="C26" s="3" t="inlineStr">
        <is>
          <t>Laptop (manager)</t>
        </is>
      </c>
      <c r="D26" s="3" t="inlineStr">
        <is>
          <t>A received PO → Make the bill from what was received</t>
        </is>
      </c>
      <c r="E26" s="3" t="inlineStr">
        <is>
          <t>A bill with the received quantities; a bill for more than received says 'above what was received'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Q36</t>
        </is>
      </c>
      <c r="B27" s="3" t="inlineStr">
        <is>
          <t>Vendor returns</t>
        </is>
      </c>
      <c r="C27" s="3" t="inlineStr">
        <is>
          <t>Laptop (manager)</t>
        </is>
      </c>
      <c r="D27" s="3" t="inlineStr">
        <is>
          <t>Returns to vendors → Send goods back: 2 damaged chips, RMA</t>
        </is>
      </c>
      <c r="E27" s="3" t="inlineStr">
        <is>
          <t>VR-…; stock down by 2 at once; Record their credit makes a vendor credit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Q37</t>
        </is>
      </c>
      <c r="B28" s="3" t="inlineStr">
        <is>
          <t>Vendor returns</t>
        </is>
      </c>
      <c r="C28" s="3" t="inlineStr">
        <is>
          <t>Laptop (manager)</t>
        </is>
      </c>
      <c r="D28" s="3" t="inlineStr">
        <is>
          <t>Vendor performance</t>
        </is>
      </c>
      <c r="E28" s="3" t="inlineStr">
        <is>
          <t>On time, short and damaged % for vendors with received orders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Q38</t>
        </is>
      </c>
      <c r="B29" s="3" t="inlineStr">
        <is>
          <t>Bills</t>
        </is>
      </c>
      <c r="C29" s="3" t="inlineStr">
        <is>
          <t>Phone (staff)</t>
        </is>
      </c>
      <c r="D29" s="3" t="inlineStr">
        <is>
          <t>Buying as Sam Staff</t>
        </is>
      </c>
      <c r="E29" s="3" t="inlineStr">
        <is>
          <t>No Bills and invoices tab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Q40</t>
        </is>
      </c>
      <c r="B30" s="3" t="inlineStr">
        <is>
          <t>Bill photo</t>
        </is>
      </c>
      <c r="C30" s="3" t="inlineStr">
        <is>
          <t>iPhone (staff)</t>
        </is>
      </c>
      <c r="D30" s="3" t="inlineStr">
        <is>
          <t>Add stock → read the vendor's bill → Coastal → 📷 a printed bill</t>
        </is>
      </c>
      <c r="E30" s="3" t="inlineStr">
        <is>
          <t>'Reading the photo…', then the lines with products matched (their code / barcode / by name) and the totals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Q41</t>
        </is>
      </c>
      <c r="B31" s="3" t="inlineStr">
        <is>
          <t>Bill photo</t>
        </is>
      </c>
      <c r="C31" s="3" t="inlineStr">
        <is>
          <t>iPhone</t>
        </is>
      </c>
      <c r="D31" s="3" t="inlineStr">
        <is>
          <t>A line not matched: type to search, pick the product</t>
        </is>
      </c>
      <c r="E31" s="3" t="inlineStr">
        <is>
          <t>Matched; Receive into stock adds the stock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Q42</t>
        </is>
      </c>
      <c r="B32" s="3" t="inlineStr">
        <is>
          <t>Bill photo</t>
        </is>
      </c>
      <c r="C32" s="3" t="inlineStr">
        <is>
          <t>iPhone</t>
        </is>
      </c>
      <c r="D32" s="3" t="inlineStr">
        <is>
          <t>Another bill from Coastal with the same item</t>
        </is>
      </c>
      <c r="E32" s="3" t="inlineStr">
        <is>
          <t>That line is matched by itself ('remembered')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Q43</t>
        </is>
      </c>
      <c r="B33" s="3" t="inlineStr">
        <is>
          <t>Bill photo</t>
        </is>
      </c>
      <c r="C33" s="3" t="inlineStr">
        <is>
          <t>Laptop (manager)</t>
        </is>
      </c>
      <c r="D33" s="3" t="inlineStr">
        <is>
          <t>A PDF bill for an open order; freight on the bill; tick 'Also record the bill'</t>
        </is>
      </c>
      <c r="E33" s="3" t="inlineStr">
        <is>
          <t>Order suggested, lines 'as ordered'; freight filled in; order received; bill B-… with freight as a line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Q44</t>
        </is>
      </c>
      <c r="B34" s="3" t="inlineStr">
        <is>
          <t>Landed cost</t>
        </is>
      </c>
      <c r="C34" s="3" t="inlineStr">
        <is>
          <t>Laptop (manager)</t>
        </is>
      </c>
      <c r="D34" s="3" t="inlineStr">
        <is>
          <t>Receive an order by hand with Freight 10.00</t>
        </is>
      </c>
      <c r="E34" s="3" t="inlineStr">
        <is>
          <t>Each item's cost (Stock → the product → lots) includes its share of the $10 by value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Q45</t>
        </is>
      </c>
      <c r="B35" s="3" t="inlineStr">
        <is>
          <t>Bill photo</t>
        </is>
      </c>
      <c r="C35" s="3" t="inlineStr">
        <is>
          <t>Laptop</t>
        </is>
      </c>
      <c r="D35" s="3" t="inlineStr">
        <is>
          <t>A bill whose lines do not add up</t>
        </is>
      </c>
      <c r="E35" s="3" t="inlineStr">
        <is>
          <t>A warning saying by how much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Q50</t>
        </is>
      </c>
      <c r="B36" s="3" t="inlineStr">
        <is>
          <t>Expenses</t>
        </is>
      </c>
      <c r="C36" s="3" t="inlineStr">
        <is>
          <t>iPhone (staff)</t>
        </is>
      </c>
      <c r="D36" s="3" t="inlineStr">
        <is>
          <t>Expenses → New claim: Home Depot, $23.50 with GST, own money, 📷 the receipt</t>
        </is>
      </c>
      <c r="E36" s="3" t="inlineStr">
        <is>
          <t>EX-… waiting; shown under My claims with the photo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Q51</t>
        </is>
      </c>
      <c r="B37" s="3" t="inlineStr">
        <is>
          <t>Expenses</t>
        </is>
      </c>
      <c r="C37" s="3" t="inlineStr">
        <is>
          <t>Till (cashier)</t>
        </is>
      </c>
      <c r="D37" s="3" t="inlineStr">
        <is>
          <t>The same amount and place without a photo</t>
        </is>
      </c>
      <c r="E37" s="3" t="inlineStr">
        <is>
          <t>Flags: 'same as EX-…?' and 'no receipt photo'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Q52</t>
        </is>
      </c>
      <c r="B38" s="3" t="inlineStr">
        <is>
          <t>Expenses</t>
        </is>
      </c>
      <c r="C38" s="3" t="inlineStr">
        <is>
          <t>Laptop (accountant)</t>
        </is>
      </c>
      <c r="D38" s="3" t="inlineStr">
        <is>
          <t>All claims: reject the duplicate with a reason; approve the first</t>
        </is>
      </c>
      <c r="E38" s="3" t="inlineStr">
        <is>
          <t>Rejected / Approved, to pay back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Q53</t>
        </is>
      </c>
      <c r="B39" s="3" t="inlineStr">
        <is>
          <t>Expenses</t>
        </is>
      </c>
      <c r="C39" s="3" t="inlineStr">
        <is>
          <t>Laptop (manager)</t>
        </is>
      </c>
      <c r="D39" s="3" t="inlineStr">
        <is>
          <t>Pay back → Cash from the till (a till is open)</t>
        </is>
      </c>
      <c r="E39" s="3" t="inlineStr">
        <is>
          <t>Done; the till's Z report shows the pay-out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Q54</t>
        </is>
      </c>
      <c r="B40" s="3" t="inlineStr">
        <is>
          <t>Expenses</t>
        </is>
      </c>
      <c r="C40" s="3" t="inlineStr">
        <is>
          <t>Laptop (manager)</t>
        </is>
      </c>
      <c r="D40" s="3" t="inlineStr">
        <is>
          <t>Your own claim: Approve</t>
        </is>
      </c>
      <c r="E40" s="3" t="inlineStr">
        <is>
          <t>Refused: someone else approves it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Q55</t>
        </is>
      </c>
      <c r="B41" s="3" t="inlineStr">
        <is>
          <t>Petty cash</t>
        </is>
      </c>
      <c r="C41" s="3" t="inlineStr">
        <is>
          <t>Laptop (manager)</t>
        </is>
      </c>
      <c r="D41" s="3" t="inlineStr">
        <is>
          <t>Petty cash → Top up 200; a claim paid from the box (5.00); Count 194.00</t>
        </is>
      </c>
      <c r="E41" s="3" t="inlineStr">
        <is>
          <t>Box 200 → 195 → count 'Short 1.00', balance 194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Q60</t>
        </is>
      </c>
      <c r="B42" s="3" t="inlineStr">
        <is>
          <t>Layaway</t>
        </is>
      </c>
      <c r="C42" s="3" t="inlineStr">
        <is>
          <t>Till</t>
        </is>
      </c>
      <c r="D42" s="3" t="inlineStr">
        <is>
          <t>Customer orders → New layaway: Rita, phone, 2 items, deposit 20% cash</t>
        </is>
      </c>
      <c r="E42" s="3" t="inlineStr">
        <is>
          <t>LA-… open, goods kept aside (Stock shows reserved); the till's expected cash includes the deposit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Q61</t>
        </is>
      </c>
      <c r="B43" s="3" t="inlineStr">
        <is>
          <t>Layaway</t>
        </is>
      </c>
      <c r="C43" s="3" t="inlineStr">
        <is>
          <t>Till</t>
        </is>
      </c>
      <c r="D43" s="3" t="inlineStr">
        <is>
          <t>Take a payment by card; then Ring up at the till</t>
        </is>
      </c>
      <c r="E43" s="3" t="inlineStr">
        <is>
          <t>Sell shows the order's lines and 'the deposit … is used'; Pay starts with Deposit; finish by card; the order is Picked up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Q62</t>
        </is>
      </c>
      <c r="B44" s="3" t="inlineStr">
        <is>
          <t>Layaway</t>
        </is>
      </c>
      <c r="C44" s="3" t="inlineStr">
        <is>
          <t>Till</t>
        </is>
      </c>
      <c r="D44" s="3" t="inlineStr">
        <is>
          <t>Another layaway → Cancel → give the deposit back in cash</t>
        </is>
      </c>
      <c r="E44" s="3" t="inlineStr">
        <is>
          <t>Cancelled; the drawer's expected cash goes down; reservation released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Q63</t>
        </is>
      </c>
      <c r="B45" s="3" t="inlineStr">
        <is>
          <t>Special order</t>
        </is>
      </c>
      <c r="C45" s="3" t="inlineStr">
        <is>
          <t>Till</t>
        </is>
      </c>
      <c r="D45" s="3" t="inlineStr">
        <is>
          <t>New special order (24 chocolate bars) → Ordered → Arrived</t>
        </is>
      </c>
      <c r="E45" s="3" t="inlineStr">
        <is>
          <t>Ready for pickup; reserved only once arrived; Ring up works then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Q64</t>
        </is>
      </c>
      <c r="B46" s="3" t="inlineStr">
        <is>
          <t>Quote</t>
        </is>
      </c>
      <c r="C46" s="3" t="inlineStr">
        <is>
          <t>Laptop (manager)</t>
        </is>
      </c>
      <c r="D46" s="3" t="inlineStr">
        <is>
          <t>New quote for Cafe Luna at a lower agreed price; PDF; Make it an invoice</t>
        </is>
      </c>
      <c r="E46" s="3" t="inlineStr">
        <is>
          <t>QT-… PDF; turned into INV-… for Luna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Q65</t>
        </is>
      </c>
      <c r="B47" s="3" t="inlineStr">
        <is>
          <t>Quote</t>
        </is>
      </c>
      <c r="C47" s="3" t="inlineStr">
        <is>
          <t>Till</t>
        </is>
      </c>
      <c r="D47" s="3" t="inlineStr">
        <is>
          <t>A quote → Ring up at the till</t>
        </is>
      </c>
      <c r="E47" s="3" t="inlineStr">
        <is>
          <t>The agreed price shows as an override with the quote as the reason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Q66</t>
        </is>
      </c>
      <c r="B48" s="3" t="inlineStr">
        <is>
          <t>House account</t>
        </is>
      </c>
      <c r="C48" s="3" t="inlineStr">
        <is>
          <t>Till</t>
        </is>
      </c>
      <c r="D48" s="3" t="inlineStr">
        <is>
          <t>Sell → Pay → On account → Cafe Luna</t>
        </is>
      </c>
      <c r="E48" s="3" t="inlineStr">
        <is>
          <t>Sale done; an invoice INV-… for Luna (Bills and invoices); over the limit is refused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Q70</t>
        </is>
      </c>
      <c r="B49" s="3" t="inlineStr">
        <is>
          <t>Bundles</t>
        </is>
      </c>
      <c r="C49" s="3" t="inlineStr">
        <is>
          <t>Laptop (manager)</t>
        </is>
      </c>
      <c r="D49" s="3" t="inlineStr">
        <is>
          <t>Products → New: 'Movie night kit', Bundle or kit: chips ×1 + chocolate ×2, barcode, price; activate</t>
        </is>
      </c>
      <c r="E49" s="3" t="inlineStr">
        <is>
          <t>Saved; the components listed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Q71</t>
        </is>
      </c>
      <c r="B50" s="3" t="inlineStr">
        <is>
          <t>Bundles</t>
        </is>
      </c>
      <c r="C50" s="3" t="inlineStr">
        <is>
          <t>Till</t>
        </is>
      </c>
      <c r="D50" s="3" t="inlineStr">
        <is>
          <t>Sell 2 kits</t>
        </is>
      </c>
      <c r="E50" s="3" t="inlineStr">
        <is>
          <t>Stock: chips −2, chocolate −4 (the kit itself has no stock); too many kits for the stock is refused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Q72</t>
        </is>
      </c>
      <c r="B51" s="3" t="inlineStr">
        <is>
          <t>Bundles</t>
        </is>
      </c>
      <c r="C51" s="3" t="inlineStr">
        <is>
          <t>Till</t>
        </is>
      </c>
      <c r="D51" s="3" t="inlineStr">
        <is>
          <t>Return 1 kit to stock</t>
        </is>
      </c>
      <c r="E51" s="3" t="inlineStr">
        <is>
          <t>Chips +1, chocolate +2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Q73</t>
        </is>
      </c>
      <c r="B52" s="3" t="inlineStr">
        <is>
          <t>Variants</t>
        </is>
      </c>
      <c r="C52" s="3" t="inlineStr">
        <is>
          <t>Laptop (manager)</t>
        </is>
      </c>
      <c r="D52" s="3" t="inlineStr">
        <is>
          <t>A product → Variety → Variants: Size S, M, L; Colour Black, White → Make the variants</t>
        </is>
      </c>
      <c r="E52" s="3" t="inlineStr">
        <is>
          <t>6 variants as drafts; adding XL later makes 2 more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Q74</t>
        </is>
      </c>
      <c r="B53" s="3" t="inlineStr">
        <is>
          <t>Variants</t>
        </is>
      </c>
      <c r="C53" s="3" t="inlineStr">
        <is>
          <t>Till</t>
        </is>
      </c>
      <c r="D53" s="3" t="inlineStr">
        <is>
          <t>Give two variants a barcode and activate them; tap the parent on the till</t>
        </is>
      </c>
      <c r="E53" s="3" t="inlineStr">
        <is>
          <t>Asks which one; the chosen variant goes in the cart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Q75</t>
        </is>
      </c>
      <c r="B54" s="3" t="inlineStr">
        <is>
          <t>Serials</t>
        </is>
      </c>
      <c r="C54" s="3" t="inlineStr">
        <is>
          <t>Till</t>
        </is>
      </c>
      <c r="D54" s="3" t="inlineStr">
        <is>
          <t>A product with 'Serial or IMEI' (warranty 365): sell 2 without serials</t>
        </is>
      </c>
      <c r="E54" s="3" t="inlineStr">
        <is>
          <t>'Scan the serial… (0 of 2)'; Enter serials; sold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Q76</t>
        </is>
      </c>
      <c r="B55" s="3" t="inlineStr">
        <is>
          <t>Serials</t>
        </is>
      </c>
      <c r="C55" s="3" t="inlineStr">
        <is>
          <t>Till</t>
        </is>
      </c>
      <c r="D55" s="3" t="inlineStr">
        <is>
          <t>Sell again with a serial already sold</t>
        </is>
      </c>
      <c r="E55" s="3" t="inlineStr">
        <is>
          <t>Refused: 'already sold'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Q80</t>
        </is>
      </c>
      <c r="B56" s="3" t="inlineStr">
        <is>
          <t>Delivery</t>
        </is>
      </c>
      <c r="C56" s="3" t="inlineStr">
        <is>
          <t>Laptop (manager)</t>
        </is>
      </c>
      <c r="D56" s="3" t="inlineStr">
        <is>
          <t>Delivery orders → Platform prices: Uber Eats price for chips</t>
        </is>
      </c>
      <c r="E56" s="3" t="inlineStr">
        <is>
          <t>Saved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Q81</t>
        </is>
      </c>
      <c r="B57" s="3" t="inlineStr">
        <is>
          <t>Delivery</t>
        </is>
      </c>
      <c r="C57" s="3" t="inlineStr">
        <is>
          <t>Till</t>
        </is>
      </c>
      <c r="D57" s="3" t="inlineStr">
        <is>
          <t>New order: Uber Eats, their number, 2 chips + 1 chocolate → Accept</t>
        </is>
      </c>
      <c r="E57" s="3" t="inlineStr">
        <is>
          <t>Total at the Uber Eats price for chips; Stock shows them reserved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Q82</t>
        </is>
      </c>
      <c r="B58" s="3" t="inlineStr">
        <is>
          <t>Delivery</t>
        </is>
      </c>
      <c r="C58" s="3" t="inlineStr">
        <is>
          <t>Till</t>
        </is>
      </c>
      <c r="D58" s="3" t="inlineStr">
        <is>
          <t>Preparing → Picked up</t>
        </is>
      </c>
      <c r="E58" s="3" t="inlineStr">
        <is>
          <t>A sale on this till paid by 'Platform'; reservation released; the Z report shows Platform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Q83</t>
        </is>
      </c>
      <c r="B59" s="3" t="inlineStr">
        <is>
          <t>Delivery</t>
        </is>
      </c>
      <c r="C59" s="3" t="inlineStr">
        <is>
          <t>Till</t>
        </is>
      </c>
      <c r="D59" s="3" t="inlineStr">
        <is>
          <t>Another order → Cancel</t>
        </is>
      </c>
      <c r="E59" s="3" t="inlineStr">
        <is>
          <t>Cancelled; reservation released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Q84</t>
        </is>
      </c>
      <c r="B60" s="3" t="inlineStr">
        <is>
          <t>Consignment</t>
        </is>
      </c>
      <c r="C60" s="3" t="inlineStr">
        <is>
          <t>Laptop (manager)</t>
        </is>
      </c>
      <c r="D60" s="3" t="inlineStr">
        <is>
          <t>A product → Variety → Consignment: Fresh Fields, $6.00 owed per unit; receive 10</t>
        </is>
      </c>
      <c r="E60" s="3" t="inlineStr">
        <is>
          <t>Dashboard stock value does not change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Q85</t>
        </is>
      </c>
      <c r="B61" s="3" t="inlineStr">
        <is>
          <t>Consignment</t>
        </is>
      </c>
      <c r="C61" s="3" t="inlineStr">
        <is>
          <t>Till + laptop</t>
        </is>
      </c>
      <c r="D61" s="3" t="inlineStr">
        <is>
          <t>Sell 3, return 1; Buying → Consignment</t>
        </is>
      </c>
      <c r="E61" s="3" t="inlineStr">
        <is>
          <t>Fresh Fields: 2 sold, $12.00; Make their bill → a vendor bill, the list is empty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Q90</t>
        </is>
      </c>
      <c r="B62" s="3" t="inlineStr">
        <is>
          <t>Recall</t>
        </is>
      </c>
      <c r="C62" s="3" t="inlineStr">
        <is>
          <t>Laptop (manager)</t>
        </is>
      </c>
      <c r="D62" s="3" t="inlineStr">
        <is>
          <t>Receive chocolate with lot code LOT-X; sell 2 to a member; Recalls → chocolate, LOT-X → Trace</t>
        </is>
      </c>
      <c r="E62" s="3" t="inlineStr">
        <is>
          <t>The lot: received, 2 sold on S-…, to the member (first name, last 4 digits)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Q91</t>
        </is>
      </c>
      <c r="B63" s="3" t="inlineStr">
        <is>
          <t>Recall</t>
        </is>
      </c>
      <c r="C63" s="3" t="inlineStr">
        <is>
          <t>Laptop (manager)</t>
        </is>
      </c>
      <c r="D63" s="3" t="inlineStr">
        <is>
          <t>Recall these lots with a reason</t>
        </is>
      </c>
      <c r="E63" s="3" t="inlineStr">
        <is>
          <t>RC-…; what was left written off (Stock: loss 'Recall'); later sales never take that lot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Q92</t>
        </is>
      </c>
      <c r="B64" s="3" t="inlineStr">
        <is>
          <t>Feedback</t>
        </is>
      </c>
      <c r="C64" s="3" t="inlineStr">
        <is>
          <t>Tablet</t>
        </is>
      </c>
      <c r="D64" s="3" t="inlineStr">
        <is>
          <t>Pair a tablet as a kiosk</t>
        </is>
      </c>
      <c r="E64" s="3" t="inlineStr">
        <is>
          <t>Shows the store's question and stars, no sign-in; Send → Thank you, then ready again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Q93</t>
        </is>
      </c>
      <c r="B65" s="3" t="inlineStr">
        <is>
          <t>Feedback</t>
        </is>
      </c>
      <c r="C65" s="3" t="inlineStr">
        <is>
          <t>Laptop (owner)</t>
        </is>
      </c>
      <c r="D65" s="3" t="inlineStr">
        <is>
          <t>Reports → Feedback: switch on the receipt link (hub address)</t>
        </is>
      </c>
      <c r="E65" s="3" t="inlineStr">
        <is>
          <t>New receipts end with 'Tell us how we did:' and a link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Q94</t>
        </is>
      </c>
      <c r="B66" s="3" t="inlineStr">
        <is>
          <t>Feedback</t>
        </is>
      </c>
      <c r="C66" s="3" t="inlineStr">
        <is>
          <t>Phone on the store Wi-Fi</t>
        </is>
      </c>
      <c r="D66" s="3" t="inlineStr">
        <is>
          <t>Open the receipt's link; send 2 stars</t>
        </is>
      </c>
      <c r="E66" s="3" t="inlineStr">
        <is>
          <t>Thank you; opening it again: 'we already have your feedback'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Q95</t>
        </is>
      </c>
      <c r="B67" s="3" t="inlineStr">
        <is>
          <t>Feedback</t>
        </is>
      </c>
      <c r="C67" s="3" t="inlineStr">
        <is>
          <t>Laptop (manager)</t>
        </is>
      </c>
      <c r="D67" s="3" t="inlineStr">
        <is>
          <t>Reports → Feedback</t>
        </is>
      </c>
      <c r="E67" s="3" t="inlineStr">
        <is>
          <t>Average, counts by stars, comments; Read clears the new mark</t>
        </is>
      </c>
      <c r="F67" s="3" t="inlineStr">
        <is>
          <t>Not tested</t>
        </is>
      </c>
      <c r="G67" s="3" t="inlineStr"/>
      <c r="H67" s="3" t="inlineStr"/>
      <c r="I67" s="3" t="inlineStr"/>
    </row>
  </sheetData>
  <autoFilter ref="A1:I67"/>
  <conditionalFormatting sqref="F2:F6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67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Bills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Invoices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Vendor returns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Bill photo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Landed cost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Expenses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Petty cash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Layaway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Special order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Quote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House account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t="inlineStr">
        <is>
          <t>Bundles</t>
        </is>
      </c>
      <c r="B19">
        <f>COUNTIF(Tests!B:B,A19)</f>
        <v/>
      </c>
      <c r="C19">
        <f>COUNTIFS(Tests!B:B,A19,Tests!F:F,"Pass")</f>
        <v/>
      </c>
      <c r="D19">
        <f>COUNTIFS(Tests!B:B,A19,Tests!F:F,"Fail")</f>
        <v/>
      </c>
      <c r="E19">
        <f>COUNTIFS(Tests!B:B,A19,Tests!F:F,"Blocked")</f>
        <v/>
      </c>
      <c r="F19">
        <f>COUNTIFS(Tests!B:B,A19,Tests!F:F,"Not tested")</f>
        <v/>
      </c>
    </row>
    <row r="20">
      <c r="A20" t="inlineStr">
        <is>
          <t>Variants</t>
        </is>
      </c>
      <c r="B20">
        <f>COUNTIF(Tests!B:B,A20)</f>
        <v/>
      </c>
      <c r="C20">
        <f>COUNTIFS(Tests!B:B,A20,Tests!F:F,"Pass")</f>
        <v/>
      </c>
      <c r="D20">
        <f>COUNTIFS(Tests!B:B,A20,Tests!F:F,"Fail")</f>
        <v/>
      </c>
      <c r="E20">
        <f>COUNTIFS(Tests!B:B,A20,Tests!F:F,"Blocked")</f>
        <v/>
      </c>
      <c r="F20">
        <f>COUNTIFS(Tests!B:B,A20,Tests!F:F,"Not tested")</f>
        <v/>
      </c>
    </row>
    <row r="21">
      <c r="A21" t="inlineStr">
        <is>
          <t>Serials</t>
        </is>
      </c>
      <c r="B21">
        <f>COUNTIF(Tests!B:B,A21)</f>
        <v/>
      </c>
      <c r="C21">
        <f>COUNTIFS(Tests!B:B,A21,Tests!F:F,"Pass")</f>
        <v/>
      </c>
      <c r="D21">
        <f>COUNTIFS(Tests!B:B,A21,Tests!F:F,"Fail")</f>
        <v/>
      </c>
      <c r="E21">
        <f>COUNTIFS(Tests!B:B,A21,Tests!F:F,"Blocked")</f>
        <v/>
      </c>
      <c r="F21">
        <f>COUNTIFS(Tests!B:B,A21,Tests!F:F,"Not tested")</f>
        <v/>
      </c>
    </row>
    <row r="22">
      <c r="A22" t="inlineStr">
        <is>
          <t>Delivery</t>
        </is>
      </c>
      <c r="B22">
        <f>COUNTIF(Tests!B:B,A22)</f>
        <v/>
      </c>
      <c r="C22">
        <f>COUNTIFS(Tests!B:B,A22,Tests!F:F,"Pass")</f>
        <v/>
      </c>
      <c r="D22">
        <f>COUNTIFS(Tests!B:B,A22,Tests!F:F,"Fail")</f>
        <v/>
      </c>
      <c r="E22">
        <f>COUNTIFS(Tests!B:B,A22,Tests!F:F,"Blocked")</f>
        <v/>
      </c>
      <c r="F22">
        <f>COUNTIFS(Tests!B:B,A22,Tests!F:F,"Not tested")</f>
        <v/>
      </c>
    </row>
    <row r="23">
      <c r="A23" t="inlineStr">
        <is>
          <t>Consignment</t>
        </is>
      </c>
      <c r="B23">
        <f>COUNTIF(Tests!B:B,A23)</f>
        <v/>
      </c>
      <c r="C23">
        <f>COUNTIFS(Tests!B:B,A23,Tests!F:F,"Pass")</f>
        <v/>
      </c>
      <c r="D23">
        <f>COUNTIFS(Tests!B:B,A23,Tests!F:F,"Fail")</f>
        <v/>
      </c>
      <c r="E23">
        <f>COUNTIFS(Tests!B:B,A23,Tests!F:F,"Blocked")</f>
        <v/>
      </c>
      <c r="F23">
        <f>COUNTIFS(Tests!B:B,A23,Tests!F:F,"Not tested")</f>
        <v/>
      </c>
    </row>
    <row r="24">
      <c r="A24" t="inlineStr">
        <is>
          <t>Recall</t>
        </is>
      </c>
      <c r="B24">
        <f>COUNTIF(Tests!B:B,A24)</f>
        <v/>
      </c>
      <c r="C24">
        <f>COUNTIFS(Tests!B:B,A24,Tests!F:F,"Pass")</f>
        <v/>
      </c>
      <c r="D24">
        <f>COUNTIFS(Tests!B:B,A24,Tests!F:F,"Fail")</f>
        <v/>
      </c>
      <c r="E24">
        <f>COUNTIFS(Tests!B:B,A24,Tests!F:F,"Blocked")</f>
        <v/>
      </c>
      <c r="F24">
        <f>COUNTIFS(Tests!B:B,A24,Tests!F:F,"Not tested")</f>
        <v/>
      </c>
    </row>
    <row r="25">
      <c r="A25" t="inlineStr">
        <is>
          <t>Feedback</t>
        </is>
      </c>
      <c r="B25">
        <f>COUNTIF(Tests!B:B,A25)</f>
        <v/>
      </c>
      <c r="C25">
        <f>COUNTIFS(Tests!B:B,A25,Tests!F:F,"Pass")</f>
        <v/>
      </c>
      <c r="D25">
        <f>COUNTIFS(Tests!B:B,A25,Tests!F:F,"Fail")</f>
        <v/>
      </c>
      <c r="E25">
        <f>COUNTIFS(Tests!B:B,A25,Tests!F:F,"Blocked")</f>
        <v/>
      </c>
      <c r="F25">
        <f>COUNTIFS(Tests!B:B,A25,Tests!F:F,"Not tested")</f>
        <v/>
      </c>
    </row>
    <row r="26">
      <c r="A26" s="5" t="inlineStr">
        <is>
          <t>All</t>
        </is>
      </c>
      <c r="B26" s="5">
        <f>SUM(B2:B25)</f>
        <v/>
      </c>
      <c r="C26" s="5">
        <f>SUM(C2:C25)</f>
        <v/>
      </c>
      <c r="D26" s="5">
        <f>SUM(D2:D25)</f>
        <v/>
      </c>
      <c r="E26" s="5">
        <f>SUM(E2:E25)</f>
        <v/>
      </c>
      <c r="F26" s="5">
        <f>SUM(F2:F25)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2026-10-10T16:04:47Z</dcterms:created>
  <dcterms:modified xsi:type="dcterms:W3CDTF">2026-10-10T16:04:47Z</dcterms:modified>
</cp:coreProperties>
</file>