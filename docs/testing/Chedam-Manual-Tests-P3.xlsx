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P3 Buy and spend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Sample vendors: Fresh Fields Produce, Coastal Beverages Ltd., Maple Snacks Wholesale (USD); client: Cafe Luna.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Q01</t>
        </is>
      </c>
      <c r="B2" s="3" t="inlineStr">
        <is>
          <t>Parties</t>
        </is>
      </c>
      <c r="C2" s="3" t="inlineStr">
        <is>
          <t>Laptop (manager)</t>
        </is>
      </c>
      <c r="D2" s="3" t="inlineStr">
        <is>
          <t>Home → Vendors and clients</t>
        </is>
      </c>
      <c r="E2" s="3" t="inlineStr">
        <is>
          <t>The sample vendors and Cafe Luna; search by name or code; filter vendors / clients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Q02</t>
        </is>
      </c>
      <c r="B3" s="3" t="inlineStr">
        <is>
          <t>Parties</t>
        </is>
      </c>
      <c r="C3" s="3" t="inlineStr">
        <is>
          <t>Laptop (manager)</t>
        </is>
      </c>
      <c r="D3" s="3" t="inlineStr">
        <is>
          <t>New: a vendor that is also a client, code 'isl bak', currency cad, terms 15 days, GST number, address</t>
        </is>
      </c>
      <c r="E3" s="3" t="inlineStr">
        <is>
          <t>Saved as code ISLBAK, currency CAD; shown with its details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Q03</t>
        </is>
      </c>
      <c r="B4" s="3" t="inlineStr">
        <is>
          <t>Parties</t>
        </is>
      </c>
      <c r="C4" s="3" t="inlineStr">
        <is>
          <t>Laptop (manager)</t>
        </is>
      </c>
      <c r="D4" s="3" t="inlineStr">
        <is>
          <t>Add two contacts (one main), a PDF price list</t>
        </is>
      </c>
      <c r="E4" s="3" t="inlineStr">
        <is>
          <t>Contacts listed with ★ on the main one; the PDF opens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Q04</t>
        </is>
      </c>
      <c r="B5" s="3" t="inlineStr">
        <is>
          <t>Parties</t>
        </is>
      </c>
      <c r="C5" s="3" t="inlineStr">
        <is>
          <t>Phone (staff)</t>
        </is>
      </c>
      <c r="D5" s="3" t="inlineStr">
        <is>
          <t>Log a call with a follow-up date tomorrow</t>
        </is>
      </c>
      <c r="E5" s="3" t="inlineStr">
        <is>
          <t>In the log with your name; Tasks → Mine shows 'Follow up with …' due tomorrow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Q05</t>
        </is>
      </c>
      <c r="B6" s="3" t="inlineStr">
        <is>
          <t>Parties</t>
        </is>
      </c>
      <c r="C6" s="3" t="inlineStr">
        <is>
          <t>Till (cashier)</t>
        </is>
      </c>
      <c r="D6" s="3" t="inlineStr">
        <is>
          <t>Try to open Vendors and clients</t>
        </is>
      </c>
      <c r="E6" s="3" t="inlineStr">
        <is>
          <t>No tile; the address #parties goes back to Home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Q06</t>
        </is>
      </c>
      <c r="B7" s="3" t="inlineStr">
        <is>
          <t>Parties</t>
        </is>
      </c>
      <c r="C7" s="3" t="inlineStr">
        <is>
          <t>Laptop (manager)</t>
        </is>
      </c>
      <c r="D7" s="3" t="inlineStr">
        <is>
          <t>Exchange rates → add EUR for 1 January and 1 June</t>
        </is>
      </c>
      <c r="E7" s="3" t="inlineStr">
        <is>
          <t>Listed; documents dated in March use the January rate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Q10</t>
        </is>
      </c>
      <c r="B8" s="3" t="inlineStr">
        <is>
          <t>Vendor prices</t>
        </is>
      </c>
      <c r="C8" s="3" t="inlineStr">
        <is>
          <t>Laptop (manager)</t>
        </is>
      </c>
      <c r="D8" s="3" t="inlineStr">
        <is>
          <t>Buying → Vendor prices → Coastal Beverages</t>
        </is>
      </c>
      <c r="E8" s="3" t="inlineStr">
        <is>
          <t>The sample products with unit, code, cost; ★ on preferred ones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Q11</t>
        </is>
      </c>
      <c r="B9" s="3" t="inlineStr">
        <is>
          <t>Vendor prices</t>
        </is>
      </c>
      <c r="C9" s="3" t="inlineStr">
        <is>
          <t>Laptop (manager)</t>
        </is>
      </c>
      <c r="D9" s="3" t="inlineStr">
        <is>
          <t>Add a product: chips, comes as the largest unit, cost, preferred</t>
        </is>
      </c>
      <c r="E9" s="3" t="inlineStr">
        <is>
          <t>Saved; any other vendor's ★ for chips goes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Q12</t>
        </is>
      </c>
      <c r="B10" s="3" t="inlineStr">
        <is>
          <t>Vendor prices</t>
        </is>
      </c>
      <c r="C10" s="3" t="inlineStr">
        <is>
          <t>Laptop (manager)</t>
        </is>
      </c>
      <c r="D10" s="3" t="inlineStr">
        <is>
          <t>Change its cost</t>
        </is>
      </c>
      <c r="E10" s="3" t="inlineStr">
        <is>
          <t>Shows 'was …' in red (up) or green (down)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Q13</t>
        </is>
      </c>
      <c r="B11" s="3" t="inlineStr">
        <is>
          <t>Price list</t>
        </is>
      </c>
      <c r="C11" s="3" t="inlineStr">
        <is>
          <t>Laptop (manager)</t>
        </is>
      </c>
      <c r="D11" s="3" t="inlineStr">
        <is>
          <t>Import price list: an Excel file with Code, Barcode, Description, Price columns (one unknown barcode, one empty price)</t>
        </is>
      </c>
      <c r="E11" s="3" t="inlineStr">
        <is>
          <t>Columns guessed; result: new / changed / same, up and down lists, two rows not matched with the reason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Q14</t>
        </is>
      </c>
      <c r="B12" s="3" t="inlineStr">
        <is>
          <t>Compare</t>
        </is>
      </c>
      <c r="C12" s="3" t="inlineStr">
        <is>
          <t>Phone (staff)</t>
        </is>
      </c>
      <c r="D12" s="3" t="inlineStr">
        <is>
          <t>Compare vendors → chips</t>
        </is>
      </c>
      <c r="E12" s="3" t="inlineStr">
        <is>
          <t>Maple (USD) and Coastal with the cost per base unit in CAD; cheapest marked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Q15</t>
        </is>
      </c>
      <c r="B13" s="3" t="inlineStr">
        <is>
          <t>Compare</t>
        </is>
      </c>
      <c r="C13" s="3" t="inlineStr">
        <is>
          <t>Laptop (manager)</t>
        </is>
      </c>
      <c r="D13" s="3" t="inlineStr">
        <is>
          <t>Better prices</t>
        </is>
      </c>
      <c r="E13" s="3" t="inlineStr">
        <is>
          <t>Products whose ★ vendor is not the cheapest, with −%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Q20</t>
        </is>
      </c>
      <c r="B14" s="3" t="inlineStr">
        <is>
          <t>Purchase orders</t>
        </is>
      </c>
      <c r="C14" s="3" t="inlineStr">
        <is>
          <t>Laptop (manager)</t>
        </is>
      </c>
      <c r="D14" s="3" t="inlineStr">
        <is>
          <t>Buying → New order: Coastal, two products from 'Add what this vendor sells', change a quantity</t>
        </is>
      </c>
      <c r="E14" s="3" t="inlineStr">
        <is>
          <t>Draft PO-… with the vendor's costs and the total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Q21</t>
        </is>
      </c>
      <c r="B15" s="3" t="inlineStr">
        <is>
          <t>Purchase orders</t>
        </is>
      </c>
      <c r="C15" s="3" t="inlineStr">
        <is>
          <t>Laptop (manager)</t>
        </is>
      </c>
      <c r="D15" s="3" t="inlineStr">
        <is>
          <t>Send</t>
        </is>
      </c>
      <c r="E15" s="3" t="inlineStr">
        <is>
          <t>Status Sent; a PDF downloads with the store, vendor, lines and total; Stock shows the quantity as incoming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Q22</t>
        </is>
      </c>
      <c r="B16" s="3" t="inlineStr">
        <is>
          <t>Purchase orders</t>
        </is>
      </c>
      <c r="C16" s="3" t="inlineStr">
        <is>
          <t>Phone (staff)</t>
        </is>
      </c>
      <c r="D16" s="3" t="inlineStr">
        <is>
          <t>Open the order → Receive: part of one line</t>
        </is>
      </c>
      <c r="E16" s="3" t="inlineStr">
        <is>
          <t>Partly received; stock goes up; incoming goes down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Q23</t>
        </is>
      </c>
      <c r="B17" s="3" t="inlineStr">
        <is>
          <t>Purchase orders</t>
        </is>
      </c>
      <c r="C17" s="3" t="inlineStr">
        <is>
          <t>Phone (staff)</t>
        </is>
      </c>
      <c r="D17" s="3" t="inlineStr">
        <is>
          <t>Receive the rest with a higher cost on one line and one more than ordered</t>
        </is>
      </c>
      <c r="E17" s="3" t="inlineStr">
        <is>
          <t>Received; differences 'different cost', 'more than ordered'; a task for the managers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Q24</t>
        </is>
      </c>
      <c r="B18" s="3" t="inlineStr">
        <is>
          <t>Purchase orders</t>
        </is>
      </c>
      <c r="C18" s="3" t="inlineStr">
        <is>
          <t>Laptop (manager)</t>
        </is>
      </c>
      <c r="D18" s="3" t="inlineStr">
        <is>
          <t>Another order: receive part, tick 'The rest will not come'</t>
        </is>
      </c>
      <c r="E18" s="3" t="inlineStr">
        <is>
          <t>Closed; 'short' shown; incoming back down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Q25</t>
        </is>
      </c>
      <c r="B19" s="3" t="inlineStr">
        <is>
          <t>Purchase orders</t>
        </is>
      </c>
      <c r="C19" s="3" t="inlineStr">
        <is>
          <t>Laptop (manager)</t>
        </is>
      </c>
      <c r="D19" s="3" t="inlineStr">
        <is>
          <t>Order from Maple Snacks (USD)</t>
        </is>
      </c>
      <c r="E19" s="3" t="inlineStr">
        <is>
          <t>Shows USD, the rate and the CAD total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Q26</t>
        </is>
      </c>
      <c r="B20" s="3" t="inlineStr">
        <is>
          <t>Reorder</t>
        </is>
      </c>
      <c r="C20" s="3" t="inlineStr">
        <is>
          <t>Laptop (manager)</t>
        </is>
      </c>
      <c r="D20" s="3" t="inlineStr">
        <is>
          <t>A product: reorder when stock falls to 50, order up to 100 (above its stock)</t>
        </is>
      </c>
      <c r="E20" s="3" t="inlineStr">
        <is>
          <t>Purchase orders lists it; Make the orders makes a draft for its vendor in whole cases up to 100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Q30</t>
        </is>
      </c>
      <c r="B21" s="3" t="inlineStr">
        <is>
          <t>Bills</t>
        </is>
      </c>
      <c r="C21" s="3" t="inlineStr">
        <is>
          <t>Laptop (accountant)</t>
        </is>
      </c>
      <c r="D21" s="3" t="inlineStr">
        <is>
          <t>Buying → Bills and invoices → New bill: Coastal, their no. CB-1, two lines, GST, a photo</t>
        </is>
      </c>
      <c r="E21" s="3" t="inlineStr">
        <is>
          <t>B-… open, due from Coastal's 30 days, total with tax; the photo opens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Q31</t>
        </is>
      </c>
      <c r="B22" s="3" t="inlineStr">
        <is>
          <t>Bills</t>
        </is>
      </c>
      <c r="C22" s="3" t="inlineStr">
        <is>
          <t>Laptop (accountant)</t>
        </is>
      </c>
      <c r="D22" s="3" t="inlineStr">
        <is>
          <t>Record a payment: part by cheque with its number</t>
        </is>
      </c>
      <c r="E22" s="3" t="inlineStr">
        <is>
          <t>Partly paid; the rest shown; the cheque on the bill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Q32</t>
        </is>
      </c>
      <c r="B23" s="3" t="inlineStr">
        <is>
          <t>Bills</t>
        </is>
      </c>
      <c r="C23" s="3" t="inlineStr">
        <is>
          <t>Laptop (accountant)</t>
        </is>
      </c>
      <c r="D23" s="3" t="inlineStr">
        <is>
          <t>Vendor credit for Coastal, then apply it to the bill</t>
        </is>
      </c>
      <c r="E23" s="3" t="inlineStr">
        <is>
          <t>The credit is used; the bill's balance goes down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Q33</t>
        </is>
      </c>
      <c r="B24" s="3" t="inlineStr">
        <is>
          <t>Bills</t>
        </is>
      </c>
      <c r="C24" s="3" t="inlineStr">
        <is>
          <t>Laptop (accountant)</t>
        </is>
      </c>
      <c r="D24" s="3" t="inlineStr">
        <is>
          <t>Take the credit payment off</t>
        </is>
      </c>
      <c r="E24" s="3" t="inlineStr">
        <is>
          <t>The bill and the credit are open again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Q34</t>
        </is>
      </c>
      <c r="B25" s="3" t="inlineStr">
        <is>
          <t>Invoices</t>
        </is>
      </c>
      <c r="C25" s="3" t="inlineStr">
        <is>
          <t>Laptop (accountant)</t>
        </is>
      </c>
      <c r="D25" s="3" t="inlineStr">
        <is>
          <t>Owed to us → New invoice to Cafe Luna; record money received</t>
        </is>
      </c>
      <c r="E25" s="3" t="inlineStr">
        <is>
          <t>INV-…; aging; Statement shows invoice, payment, balance; PDF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Q35</t>
        </is>
      </c>
      <c r="B26" s="3" t="inlineStr">
        <is>
          <t>Bills</t>
        </is>
      </c>
      <c r="C26" s="3" t="inlineStr">
        <is>
          <t>Laptop (manager)</t>
        </is>
      </c>
      <c r="D26" s="3" t="inlineStr">
        <is>
          <t>A received PO → Make the bill from what was received</t>
        </is>
      </c>
      <c r="E26" s="3" t="inlineStr">
        <is>
          <t>A bill with the received quantities; a bill for more than received says 'above what was received'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Q36</t>
        </is>
      </c>
      <c r="B27" s="3" t="inlineStr">
        <is>
          <t>Vendor returns</t>
        </is>
      </c>
      <c r="C27" s="3" t="inlineStr">
        <is>
          <t>Laptop (manager)</t>
        </is>
      </c>
      <c r="D27" s="3" t="inlineStr">
        <is>
          <t>Returns to vendors → Send goods back: 2 damaged chips, RMA</t>
        </is>
      </c>
      <c r="E27" s="3" t="inlineStr">
        <is>
          <t>VR-…; stock down by 2 at once; Record their credit makes a vendor credit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Q37</t>
        </is>
      </c>
      <c r="B28" s="3" t="inlineStr">
        <is>
          <t>Vendor returns</t>
        </is>
      </c>
      <c r="C28" s="3" t="inlineStr">
        <is>
          <t>Laptop (manager)</t>
        </is>
      </c>
      <c r="D28" s="3" t="inlineStr">
        <is>
          <t>Vendor performance</t>
        </is>
      </c>
      <c r="E28" s="3" t="inlineStr">
        <is>
          <t>On time, short and damaged % for vendors with received orders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Q38</t>
        </is>
      </c>
      <c r="B29" s="3" t="inlineStr">
        <is>
          <t>Bills</t>
        </is>
      </c>
      <c r="C29" s="3" t="inlineStr">
        <is>
          <t>Phone (staff)</t>
        </is>
      </c>
      <c r="D29" s="3" t="inlineStr">
        <is>
          <t>Buying as Sam Staff</t>
        </is>
      </c>
      <c r="E29" s="3" t="inlineStr">
        <is>
          <t>No Bills and invoices tab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Q40</t>
        </is>
      </c>
      <c r="B30" s="3" t="inlineStr">
        <is>
          <t>Bill photo</t>
        </is>
      </c>
      <c r="C30" s="3" t="inlineStr">
        <is>
          <t>iPhone (staff)</t>
        </is>
      </c>
      <c r="D30" s="3" t="inlineStr">
        <is>
          <t>Add stock → read the vendor's bill → Coastal → 📷 a printed bill</t>
        </is>
      </c>
      <c r="E30" s="3" t="inlineStr">
        <is>
          <t>'Reading the photo…', then the lines with products matched (their code / barcode / by name) and the totals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Q41</t>
        </is>
      </c>
      <c r="B31" s="3" t="inlineStr">
        <is>
          <t>Bill photo</t>
        </is>
      </c>
      <c r="C31" s="3" t="inlineStr">
        <is>
          <t>iPhone</t>
        </is>
      </c>
      <c r="D31" s="3" t="inlineStr">
        <is>
          <t>A line not matched: type to search, pick the product</t>
        </is>
      </c>
      <c r="E31" s="3" t="inlineStr">
        <is>
          <t>Matched; Receive into stock adds the stock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Q42</t>
        </is>
      </c>
      <c r="B32" s="3" t="inlineStr">
        <is>
          <t>Bill photo</t>
        </is>
      </c>
      <c r="C32" s="3" t="inlineStr">
        <is>
          <t>iPhone</t>
        </is>
      </c>
      <c r="D32" s="3" t="inlineStr">
        <is>
          <t>Another bill from Coastal with the same item</t>
        </is>
      </c>
      <c r="E32" s="3" t="inlineStr">
        <is>
          <t>That line is matched by itself ('remembered')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Q43</t>
        </is>
      </c>
      <c r="B33" s="3" t="inlineStr">
        <is>
          <t>Bill photo</t>
        </is>
      </c>
      <c r="C33" s="3" t="inlineStr">
        <is>
          <t>Laptop (manager)</t>
        </is>
      </c>
      <c r="D33" s="3" t="inlineStr">
        <is>
          <t>A PDF bill for an open order; freight on the bill; tick 'Also record the bill'</t>
        </is>
      </c>
      <c r="E33" s="3" t="inlineStr">
        <is>
          <t>Order suggested, lines 'as ordered'; freight filled in; order received; bill B-… with freight as a line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Q44</t>
        </is>
      </c>
      <c r="B34" s="3" t="inlineStr">
        <is>
          <t>Landed cost</t>
        </is>
      </c>
      <c r="C34" s="3" t="inlineStr">
        <is>
          <t>Laptop (manager)</t>
        </is>
      </c>
      <c r="D34" s="3" t="inlineStr">
        <is>
          <t>Receive an order by hand with Freight 10.00</t>
        </is>
      </c>
      <c r="E34" s="3" t="inlineStr">
        <is>
          <t>Each item's cost (Stock → the product → lots) includes its share of the $10 by value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Q45</t>
        </is>
      </c>
      <c r="B35" s="3" t="inlineStr">
        <is>
          <t>Bill photo</t>
        </is>
      </c>
      <c r="C35" s="3" t="inlineStr">
        <is>
          <t>Laptop</t>
        </is>
      </c>
      <c r="D35" s="3" t="inlineStr">
        <is>
          <t>A bill whose lines do not add up</t>
        </is>
      </c>
      <c r="E35" s="3" t="inlineStr">
        <is>
          <t>A warning saying by how much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Q50</t>
        </is>
      </c>
      <c r="B36" s="3" t="inlineStr">
        <is>
          <t>Expenses</t>
        </is>
      </c>
      <c r="C36" s="3" t="inlineStr">
        <is>
          <t>iPhone (staff)</t>
        </is>
      </c>
      <c r="D36" s="3" t="inlineStr">
        <is>
          <t>Expenses → New claim: Home Depot, $23.50 with GST, own money, 📷 the receipt</t>
        </is>
      </c>
      <c r="E36" s="3" t="inlineStr">
        <is>
          <t>EX-… waiting; shown under My claims with the photo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Q51</t>
        </is>
      </c>
      <c r="B37" s="3" t="inlineStr">
        <is>
          <t>Expenses</t>
        </is>
      </c>
      <c r="C37" s="3" t="inlineStr">
        <is>
          <t>Till (cashier)</t>
        </is>
      </c>
      <c r="D37" s="3" t="inlineStr">
        <is>
          <t>The same amount and place without a photo</t>
        </is>
      </c>
      <c r="E37" s="3" t="inlineStr">
        <is>
          <t>Flags: 'same as EX-…?' and 'no receipt photo'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Q52</t>
        </is>
      </c>
      <c r="B38" s="3" t="inlineStr">
        <is>
          <t>Expenses</t>
        </is>
      </c>
      <c r="C38" s="3" t="inlineStr">
        <is>
          <t>Laptop (accountant)</t>
        </is>
      </c>
      <c r="D38" s="3" t="inlineStr">
        <is>
          <t>All claims: reject the duplicate with a reason; approve the first</t>
        </is>
      </c>
      <c r="E38" s="3" t="inlineStr">
        <is>
          <t>Rejected / Approved, to pay back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Q53</t>
        </is>
      </c>
      <c r="B39" s="3" t="inlineStr">
        <is>
          <t>Expenses</t>
        </is>
      </c>
      <c r="C39" s="3" t="inlineStr">
        <is>
          <t>Laptop (manager)</t>
        </is>
      </c>
      <c r="D39" s="3" t="inlineStr">
        <is>
          <t>Pay back → Cash from the till (a till is open)</t>
        </is>
      </c>
      <c r="E39" s="3" t="inlineStr">
        <is>
          <t>Done; the till's Z report shows the pay-out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Q54</t>
        </is>
      </c>
      <c r="B40" s="3" t="inlineStr">
        <is>
          <t>Expenses</t>
        </is>
      </c>
      <c r="C40" s="3" t="inlineStr">
        <is>
          <t>Laptop (manager)</t>
        </is>
      </c>
      <c r="D40" s="3" t="inlineStr">
        <is>
          <t>Your own claim: Approve</t>
        </is>
      </c>
      <c r="E40" s="3" t="inlineStr">
        <is>
          <t>Refused: someone else approves it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Q55</t>
        </is>
      </c>
      <c r="B41" s="3" t="inlineStr">
        <is>
          <t>Petty cash</t>
        </is>
      </c>
      <c r="C41" s="3" t="inlineStr">
        <is>
          <t>Laptop (manager)</t>
        </is>
      </c>
      <c r="D41" s="3" t="inlineStr">
        <is>
          <t>Petty cash → Top up 200; a claim paid from the box (5.00); Count 194.00</t>
        </is>
      </c>
      <c r="E41" s="3" t="inlineStr">
        <is>
          <t>Box 200 → 195 → count 'Short 1.00', balance 194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Q60</t>
        </is>
      </c>
      <c r="B42" s="3" t="inlineStr">
        <is>
          <t>Layaway</t>
        </is>
      </c>
      <c r="C42" s="3" t="inlineStr">
        <is>
          <t>Till</t>
        </is>
      </c>
      <c r="D42" s="3" t="inlineStr">
        <is>
          <t>Customer orders → New layaway: Rita, phone, 2 items, deposit 20% cash</t>
        </is>
      </c>
      <c r="E42" s="3" t="inlineStr">
        <is>
          <t>LA-… open, goods kept aside (Stock shows reserved); the till's expected cash includes the deposit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Q61</t>
        </is>
      </c>
      <c r="B43" s="3" t="inlineStr">
        <is>
          <t>Layaway</t>
        </is>
      </c>
      <c r="C43" s="3" t="inlineStr">
        <is>
          <t>Till</t>
        </is>
      </c>
      <c r="D43" s="3" t="inlineStr">
        <is>
          <t>Take a payment by card; then Ring up at the till</t>
        </is>
      </c>
      <c r="E43" s="3" t="inlineStr">
        <is>
          <t>Sell shows the order's lines and 'the deposit … is used'; Pay starts with Deposit; finish by card; the order is Picked up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Q62</t>
        </is>
      </c>
      <c r="B44" s="3" t="inlineStr">
        <is>
          <t>Layaway</t>
        </is>
      </c>
      <c r="C44" s="3" t="inlineStr">
        <is>
          <t>Till</t>
        </is>
      </c>
      <c r="D44" s="3" t="inlineStr">
        <is>
          <t>Another layaway → Cancel → give the deposit back in cash</t>
        </is>
      </c>
      <c r="E44" s="3" t="inlineStr">
        <is>
          <t>Cancelled; the drawer's expected cash goes down; reservation released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Q63</t>
        </is>
      </c>
      <c r="B45" s="3" t="inlineStr">
        <is>
          <t>Special order</t>
        </is>
      </c>
      <c r="C45" s="3" t="inlineStr">
        <is>
          <t>Till</t>
        </is>
      </c>
      <c r="D45" s="3" t="inlineStr">
        <is>
          <t>New special order (24 chocolate bars) → Ordered → Arrived</t>
        </is>
      </c>
      <c r="E45" s="3" t="inlineStr">
        <is>
          <t>Ready for pickup; reserved only once arrived; Ring up works then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Q64</t>
        </is>
      </c>
      <c r="B46" s="3" t="inlineStr">
        <is>
          <t>Quote</t>
        </is>
      </c>
      <c r="C46" s="3" t="inlineStr">
        <is>
          <t>Laptop (manager)</t>
        </is>
      </c>
      <c r="D46" s="3" t="inlineStr">
        <is>
          <t>New quote for Cafe Luna at a lower agreed price; PDF; Make it an invoice</t>
        </is>
      </c>
      <c r="E46" s="3" t="inlineStr">
        <is>
          <t>QT-… PDF; turned into INV-… for Luna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Q65</t>
        </is>
      </c>
      <c r="B47" s="3" t="inlineStr">
        <is>
          <t>Quote</t>
        </is>
      </c>
      <c r="C47" s="3" t="inlineStr">
        <is>
          <t>Till</t>
        </is>
      </c>
      <c r="D47" s="3" t="inlineStr">
        <is>
          <t>A quote → Ring up at the till</t>
        </is>
      </c>
      <c r="E47" s="3" t="inlineStr">
        <is>
          <t>The agreed price shows as an override with the quote as the reason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Q66</t>
        </is>
      </c>
      <c r="B48" s="3" t="inlineStr">
        <is>
          <t>House account</t>
        </is>
      </c>
      <c r="C48" s="3" t="inlineStr">
        <is>
          <t>Till</t>
        </is>
      </c>
      <c r="D48" s="3" t="inlineStr">
        <is>
          <t>Sell → Pay → On account → Cafe Luna</t>
        </is>
      </c>
      <c r="E48" s="3" t="inlineStr">
        <is>
          <t>Sale done; an invoice INV-… for Luna (Bills and invoices); over the limit is refused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Q70</t>
        </is>
      </c>
      <c r="B49" s="3" t="inlineStr">
        <is>
          <t>Bundles</t>
        </is>
      </c>
      <c r="C49" s="3" t="inlineStr">
        <is>
          <t>Laptop (manager)</t>
        </is>
      </c>
      <c r="D49" s="3" t="inlineStr">
        <is>
          <t>Products → New: 'Movie night kit', Bundle or kit: chips ×1 + chocolate ×2, barcode, price; activate</t>
        </is>
      </c>
      <c r="E49" s="3" t="inlineStr">
        <is>
          <t>Saved; the components listed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Q71</t>
        </is>
      </c>
      <c r="B50" s="3" t="inlineStr">
        <is>
          <t>Bundles</t>
        </is>
      </c>
      <c r="C50" s="3" t="inlineStr">
        <is>
          <t>Till</t>
        </is>
      </c>
      <c r="D50" s="3" t="inlineStr">
        <is>
          <t>Sell 2 kits</t>
        </is>
      </c>
      <c r="E50" s="3" t="inlineStr">
        <is>
          <t>Stock: chips −2, chocolate −4 (the kit itself has no stock); too many kits for the stock is refused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Q72</t>
        </is>
      </c>
      <c r="B51" s="3" t="inlineStr">
        <is>
          <t>Bundles</t>
        </is>
      </c>
      <c r="C51" s="3" t="inlineStr">
        <is>
          <t>Till</t>
        </is>
      </c>
      <c r="D51" s="3" t="inlineStr">
        <is>
          <t>Return 1 kit to stock</t>
        </is>
      </c>
      <c r="E51" s="3" t="inlineStr">
        <is>
          <t>Chips +1, chocolate +2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Q73</t>
        </is>
      </c>
      <c r="B52" s="3" t="inlineStr">
        <is>
          <t>Variants</t>
        </is>
      </c>
      <c r="C52" s="3" t="inlineStr">
        <is>
          <t>Laptop (manager)</t>
        </is>
      </c>
      <c r="D52" s="3" t="inlineStr">
        <is>
          <t>A product → Variety → Variants: Size S, M, L; Colour Black, White → Make the variants</t>
        </is>
      </c>
      <c r="E52" s="3" t="inlineStr">
        <is>
          <t>6 variants as drafts; adding XL later makes 2 more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Q74</t>
        </is>
      </c>
      <c r="B53" s="3" t="inlineStr">
        <is>
          <t>Variants</t>
        </is>
      </c>
      <c r="C53" s="3" t="inlineStr">
        <is>
          <t>Till</t>
        </is>
      </c>
      <c r="D53" s="3" t="inlineStr">
        <is>
          <t>Give two variants a barcode and activate them; tap the parent on the till</t>
        </is>
      </c>
      <c r="E53" s="3" t="inlineStr">
        <is>
          <t>Asks which one; the chosen variant goes in the cart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Q75</t>
        </is>
      </c>
      <c r="B54" s="3" t="inlineStr">
        <is>
          <t>Serials</t>
        </is>
      </c>
      <c r="C54" s="3" t="inlineStr">
        <is>
          <t>Till</t>
        </is>
      </c>
      <c r="D54" s="3" t="inlineStr">
        <is>
          <t>A product with 'Serial or IMEI' (warranty 365): sell 2 without serials</t>
        </is>
      </c>
      <c r="E54" s="3" t="inlineStr">
        <is>
          <t>'Scan the serial… (0 of 2)'; Enter serials; sold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Q76</t>
        </is>
      </c>
      <c r="B55" s="3" t="inlineStr">
        <is>
          <t>Serials</t>
        </is>
      </c>
      <c r="C55" s="3" t="inlineStr">
        <is>
          <t>Till</t>
        </is>
      </c>
      <c r="D55" s="3" t="inlineStr">
        <is>
          <t>Sell again with a serial already sold</t>
        </is>
      </c>
      <c r="E55" s="3" t="inlineStr">
        <is>
          <t>Refused: 'already sold'</t>
        </is>
      </c>
      <c r="F55" s="3" t="inlineStr">
        <is>
          <t>Not tested</t>
        </is>
      </c>
      <c r="G55" s="3" t="inlineStr"/>
      <c r="H55" s="3" t="inlineStr"/>
      <c r="I55" s="3" t="inlineStr"/>
    </row>
    <row r="56">
      <c r="A56" s="3" t="inlineStr">
        <is>
          <t>Q80</t>
        </is>
      </c>
      <c r="B56" s="3" t="inlineStr">
        <is>
          <t>Delivery</t>
        </is>
      </c>
      <c r="C56" s="3" t="inlineStr">
        <is>
          <t>Laptop (manager)</t>
        </is>
      </c>
      <c r="D56" s="3" t="inlineStr">
        <is>
          <t>Delivery orders → Platform prices: Uber Eats price for chips</t>
        </is>
      </c>
      <c r="E56" s="3" t="inlineStr">
        <is>
          <t>Saved</t>
        </is>
      </c>
      <c r="F56" s="3" t="inlineStr">
        <is>
          <t>Not tested</t>
        </is>
      </c>
      <c r="G56" s="3" t="inlineStr"/>
      <c r="H56" s="3" t="inlineStr"/>
      <c r="I56" s="3" t="inlineStr"/>
    </row>
    <row r="57">
      <c r="A57" s="3" t="inlineStr">
        <is>
          <t>Q81</t>
        </is>
      </c>
      <c r="B57" s="3" t="inlineStr">
        <is>
          <t>Delivery</t>
        </is>
      </c>
      <c r="C57" s="3" t="inlineStr">
        <is>
          <t>Till</t>
        </is>
      </c>
      <c r="D57" s="3" t="inlineStr">
        <is>
          <t>New order: Uber Eats, their number, 2 chips + 1 chocolate → Accept</t>
        </is>
      </c>
      <c r="E57" s="3" t="inlineStr">
        <is>
          <t>Total at the Uber Eats price for chips; Stock shows them reserved</t>
        </is>
      </c>
      <c r="F57" s="3" t="inlineStr">
        <is>
          <t>Not tested</t>
        </is>
      </c>
      <c r="G57" s="3" t="inlineStr"/>
      <c r="H57" s="3" t="inlineStr"/>
      <c r="I57" s="3" t="inlineStr"/>
    </row>
    <row r="58">
      <c r="A58" s="3" t="inlineStr">
        <is>
          <t>Q82</t>
        </is>
      </c>
      <c r="B58" s="3" t="inlineStr">
        <is>
          <t>Delivery</t>
        </is>
      </c>
      <c r="C58" s="3" t="inlineStr">
        <is>
          <t>Till</t>
        </is>
      </c>
      <c r="D58" s="3" t="inlineStr">
        <is>
          <t>Preparing → Picked up</t>
        </is>
      </c>
      <c r="E58" s="3" t="inlineStr">
        <is>
          <t>A sale on this till paid by 'Platform'; reservation released; the Z report shows Platform</t>
        </is>
      </c>
      <c r="F58" s="3" t="inlineStr">
        <is>
          <t>Not tested</t>
        </is>
      </c>
      <c r="G58" s="3" t="inlineStr"/>
      <c r="H58" s="3" t="inlineStr"/>
      <c r="I58" s="3" t="inlineStr"/>
    </row>
    <row r="59">
      <c r="A59" s="3" t="inlineStr">
        <is>
          <t>Q83</t>
        </is>
      </c>
      <c r="B59" s="3" t="inlineStr">
        <is>
          <t>Delivery</t>
        </is>
      </c>
      <c r="C59" s="3" t="inlineStr">
        <is>
          <t>Till</t>
        </is>
      </c>
      <c r="D59" s="3" t="inlineStr">
        <is>
          <t>Another order → Cancel</t>
        </is>
      </c>
      <c r="E59" s="3" t="inlineStr">
        <is>
          <t>Cancelled; reservation released</t>
        </is>
      </c>
      <c r="F59" s="3" t="inlineStr">
        <is>
          <t>Not tested</t>
        </is>
      </c>
      <c r="G59" s="3" t="inlineStr"/>
      <c r="H59" s="3" t="inlineStr"/>
      <c r="I59" s="3" t="inlineStr"/>
    </row>
    <row r="60">
      <c r="A60" s="3" t="inlineStr">
        <is>
          <t>Q84</t>
        </is>
      </c>
      <c r="B60" s="3" t="inlineStr">
        <is>
          <t>Consignment</t>
        </is>
      </c>
      <c r="C60" s="3" t="inlineStr">
        <is>
          <t>Laptop (manager)</t>
        </is>
      </c>
      <c r="D60" s="3" t="inlineStr">
        <is>
          <t>A product → Variety → Consignment: Fresh Fields, $6.00 owed per unit; receive 10</t>
        </is>
      </c>
      <c r="E60" s="3" t="inlineStr">
        <is>
          <t>Dashboard stock value does not change</t>
        </is>
      </c>
      <c r="F60" s="3" t="inlineStr">
        <is>
          <t>Not tested</t>
        </is>
      </c>
      <c r="G60" s="3" t="inlineStr"/>
      <c r="H60" s="3" t="inlineStr"/>
      <c r="I60" s="3" t="inlineStr"/>
    </row>
    <row r="61">
      <c r="A61" s="3" t="inlineStr">
        <is>
          <t>Q85</t>
        </is>
      </c>
      <c r="B61" s="3" t="inlineStr">
        <is>
          <t>Consignment</t>
        </is>
      </c>
      <c r="C61" s="3" t="inlineStr">
        <is>
          <t>Till + laptop</t>
        </is>
      </c>
      <c r="D61" s="3" t="inlineStr">
        <is>
          <t>Sell 3, return 1; Buying → Consignment</t>
        </is>
      </c>
      <c r="E61" s="3" t="inlineStr">
        <is>
          <t>Fresh Fields: 2 sold, $12.00; Make their bill → a vendor bill, the list is empty</t>
        </is>
      </c>
      <c r="F61" s="3" t="inlineStr">
        <is>
          <t>Not tested</t>
        </is>
      </c>
      <c r="G61" s="3" t="inlineStr"/>
      <c r="H61" s="3" t="inlineStr"/>
      <c r="I61" s="3" t="inlineStr"/>
    </row>
  </sheetData>
  <autoFilter ref="A1:I61"/>
  <conditionalFormatting sqref="F2:F6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61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Parties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Vendor prices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Price list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Compare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Purchase orders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Reorder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Bills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Invoices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Vendor returns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Bill photo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Landed cost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Expenses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Petty cash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t="inlineStr">
        <is>
          <t>Layaway</t>
        </is>
      </c>
      <c r="B15">
        <f>COUNTIF(Tests!B:B,A15)</f>
        <v/>
      </c>
      <c r="C15">
        <f>COUNTIFS(Tests!B:B,A15,Tests!F:F,"Pass")</f>
        <v/>
      </c>
      <c r="D15">
        <f>COUNTIFS(Tests!B:B,A15,Tests!F:F,"Fail")</f>
        <v/>
      </c>
      <c r="E15">
        <f>COUNTIFS(Tests!B:B,A15,Tests!F:F,"Blocked")</f>
        <v/>
      </c>
      <c r="F15">
        <f>COUNTIFS(Tests!B:B,A15,Tests!F:F,"Not tested")</f>
        <v/>
      </c>
    </row>
    <row r="16">
      <c r="A16" t="inlineStr">
        <is>
          <t>Special order</t>
        </is>
      </c>
      <c r="B16">
        <f>COUNTIF(Tests!B:B,A16)</f>
        <v/>
      </c>
      <c r="C16">
        <f>COUNTIFS(Tests!B:B,A16,Tests!F:F,"Pass")</f>
        <v/>
      </c>
      <c r="D16">
        <f>COUNTIFS(Tests!B:B,A16,Tests!F:F,"Fail")</f>
        <v/>
      </c>
      <c r="E16">
        <f>COUNTIFS(Tests!B:B,A16,Tests!F:F,"Blocked")</f>
        <v/>
      </c>
      <c r="F16">
        <f>COUNTIFS(Tests!B:B,A16,Tests!F:F,"Not tested")</f>
        <v/>
      </c>
    </row>
    <row r="17">
      <c r="A17" t="inlineStr">
        <is>
          <t>Quote</t>
        </is>
      </c>
      <c r="B17">
        <f>COUNTIF(Tests!B:B,A17)</f>
        <v/>
      </c>
      <c r="C17">
        <f>COUNTIFS(Tests!B:B,A17,Tests!F:F,"Pass")</f>
        <v/>
      </c>
      <c r="D17">
        <f>COUNTIFS(Tests!B:B,A17,Tests!F:F,"Fail")</f>
        <v/>
      </c>
      <c r="E17">
        <f>COUNTIFS(Tests!B:B,A17,Tests!F:F,"Blocked")</f>
        <v/>
      </c>
      <c r="F17">
        <f>COUNTIFS(Tests!B:B,A17,Tests!F:F,"Not tested")</f>
        <v/>
      </c>
    </row>
    <row r="18">
      <c r="A18" t="inlineStr">
        <is>
          <t>House account</t>
        </is>
      </c>
      <c r="B18">
        <f>COUNTIF(Tests!B:B,A18)</f>
        <v/>
      </c>
      <c r="C18">
        <f>COUNTIFS(Tests!B:B,A18,Tests!F:F,"Pass")</f>
        <v/>
      </c>
      <c r="D18">
        <f>COUNTIFS(Tests!B:B,A18,Tests!F:F,"Fail")</f>
        <v/>
      </c>
      <c r="E18">
        <f>COUNTIFS(Tests!B:B,A18,Tests!F:F,"Blocked")</f>
        <v/>
      </c>
      <c r="F18">
        <f>COUNTIFS(Tests!B:B,A18,Tests!F:F,"Not tested")</f>
        <v/>
      </c>
    </row>
    <row r="19">
      <c r="A19" t="inlineStr">
        <is>
          <t>Bundles</t>
        </is>
      </c>
      <c r="B19">
        <f>COUNTIF(Tests!B:B,A19)</f>
        <v/>
      </c>
      <c r="C19">
        <f>COUNTIFS(Tests!B:B,A19,Tests!F:F,"Pass")</f>
        <v/>
      </c>
      <c r="D19">
        <f>COUNTIFS(Tests!B:B,A19,Tests!F:F,"Fail")</f>
        <v/>
      </c>
      <c r="E19">
        <f>COUNTIFS(Tests!B:B,A19,Tests!F:F,"Blocked")</f>
        <v/>
      </c>
      <c r="F19">
        <f>COUNTIFS(Tests!B:B,A19,Tests!F:F,"Not tested")</f>
        <v/>
      </c>
    </row>
    <row r="20">
      <c r="A20" t="inlineStr">
        <is>
          <t>Variants</t>
        </is>
      </c>
      <c r="B20">
        <f>COUNTIF(Tests!B:B,A20)</f>
        <v/>
      </c>
      <c r="C20">
        <f>COUNTIFS(Tests!B:B,A20,Tests!F:F,"Pass")</f>
        <v/>
      </c>
      <c r="D20">
        <f>COUNTIFS(Tests!B:B,A20,Tests!F:F,"Fail")</f>
        <v/>
      </c>
      <c r="E20">
        <f>COUNTIFS(Tests!B:B,A20,Tests!F:F,"Blocked")</f>
        <v/>
      </c>
      <c r="F20">
        <f>COUNTIFS(Tests!B:B,A20,Tests!F:F,"Not tested")</f>
        <v/>
      </c>
    </row>
    <row r="21">
      <c r="A21" t="inlineStr">
        <is>
          <t>Serials</t>
        </is>
      </c>
      <c r="B21">
        <f>COUNTIF(Tests!B:B,A21)</f>
        <v/>
      </c>
      <c r="C21">
        <f>COUNTIFS(Tests!B:B,A21,Tests!F:F,"Pass")</f>
        <v/>
      </c>
      <c r="D21">
        <f>COUNTIFS(Tests!B:B,A21,Tests!F:F,"Fail")</f>
        <v/>
      </c>
      <c r="E21">
        <f>COUNTIFS(Tests!B:B,A21,Tests!F:F,"Blocked")</f>
        <v/>
      </c>
      <c r="F21">
        <f>COUNTIFS(Tests!B:B,A21,Tests!F:F,"Not tested")</f>
        <v/>
      </c>
    </row>
    <row r="22">
      <c r="A22" t="inlineStr">
        <is>
          <t>Delivery</t>
        </is>
      </c>
      <c r="B22">
        <f>COUNTIF(Tests!B:B,A22)</f>
        <v/>
      </c>
      <c r="C22">
        <f>COUNTIFS(Tests!B:B,A22,Tests!F:F,"Pass")</f>
        <v/>
      </c>
      <c r="D22">
        <f>COUNTIFS(Tests!B:B,A22,Tests!F:F,"Fail")</f>
        <v/>
      </c>
      <c r="E22">
        <f>COUNTIFS(Tests!B:B,A22,Tests!F:F,"Blocked")</f>
        <v/>
      </c>
      <c r="F22">
        <f>COUNTIFS(Tests!B:B,A22,Tests!F:F,"Not tested")</f>
        <v/>
      </c>
    </row>
    <row r="23">
      <c r="A23" t="inlineStr">
        <is>
          <t>Consignment</t>
        </is>
      </c>
      <c r="B23">
        <f>COUNTIF(Tests!B:B,A23)</f>
        <v/>
      </c>
      <c r="C23">
        <f>COUNTIFS(Tests!B:B,A23,Tests!F:F,"Pass")</f>
        <v/>
      </c>
      <c r="D23">
        <f>COUNTIFS(Tests!B:B,A23,Tests!F:F,"Fail")</f>
        <v/>
      </c>
      <c r="E23">
        <f>COUNTIFS(Tests!B:B,A23,Tests!F:F,"Blocked")</f>
        <v/>
      </c>
      <c r="F23">
        <f>COUNTIFS(Tests!B:B,A23,Tests!F:F,"Not tested")</f>
        <v/>
      </c>
    </row>
    <row r="24">
      <c r="A24" s="5" t="inlineStr">
        <is>
          <t>All</t>
        </is>
      </c>
      <c r="B24" s="5">
        <f>SUM(B2:B23)</f>
        <v/>
      </c>
      <c r="C24" s="5">
        <f>SUM(C2:C23)</f>
        <v/>
      </c>
      <c r="D24" s="5">
        <f>SUM(D2:D23)</f>
        <v/>
      </c>
      <c r="E24" s="5">
        <f>SUM(E2:E23)</f>
        <v/>
      </c>
      <c r="F24" s="5">
        <f>SUM(F2:F23)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2026-10-10T15:58:12Z</dcterms:created>
  <dcterms:modified xsi:type="dcterms:W3CDTF">2026-10-10T15:58:12Z</dcterms:modified>
</cp:coreProperties>
</file>