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Before you start" sheetId="1" state="visible" r:id="rId1"/>
    <sheet name="Tests" sheetId="2" state="visible" r:id="rId2"/>
    <sheet name="Summary" sheetId="3" state="visible" r:id="rId3"/>
  </sheets>
  <definedNames>
    <definedName name="_xlnm._FilterDatabase" localSheetId="1" hidden="1">'Tests'!$A$1:$I$19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Chedam retest: fixes and changes from testing on 2026-10-11 (round T3)</t>
        </is>
      </c>
    </row>
    <row r="2">
      <c r="A2" t="inlineStr"/>
    </row>
    <row r="3">
      <c r="A3" t="inlineStr">
        <is>
          <t>On the Android phone, the iPhone and the laptop. Sample people: Demo Owner, Mira Manager, Cal Cashier, Sam Staff.</t>
        </is>
      </c>
    </row>
    <row r="4">
      <c r="A4" t="inlineStr">
        <is>
          <t>For each row: do what it says, compare with 'What should happen', choose Pass / Fail / Blocked, and write what happened when it is not a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60" customWidth="1" min="5" max="5"/>
    <col width="13" customWidth="1" min="6" max="6"/>
    <col width="45" customWidth="1" min="7" max="7"/>
    <col width="12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Device / needs</t>
        </is>
      </c>
      <c r="D1" s="2" t="inlineStr">
        <is>
          <t>What to do</t>
        </is>
      </c>
      <c r="E1" s="2" t="inlineStr">
        <is>
          <t>What should happen</t>
        </is>
      </c>
      <c r="F1" s="2" t="inlineStr">
        <is>
          <t>Result</t>
        </is>
      </c>
      <c r="G1" s="2" t="inlineStr">
        <is>
          <t>Notes (what happened)</t>
        </is>
      </c>
      <c r="H1" s="2" t="inlineStr">
        <is>
          <t>Tester</t>
        </is>
      </c>
      <c r="I1" s="2" t="inlineStr">
        <is>
          <t>Date</t>
        </is>
      </c>
    </row>
    <row r="2">
      <c r="A2" s="3" t="inlineStr">
        <is>
          <t>T01</t>
        </is>
      </c>
      <c r="B2" s="3" t="inlineStr">
        <is>
          <t>Messages</t>
        </is>
      </c>
      <c r="C2" s="3" t="inlineStr">
        <is>
          <t>Android + iPhone</t>
        </is>
      </c>
      <c r="D2" s="3" t="inlineStr">
        <is>
          <t>Mira sends Cal 3 messages; on Cal's phone open Messages → the conversation</t>
        </is>
      </c>
      <c r="E2" s="3" t="inlineStr">
        <is>
          <t>It opens like a chat: bubbles, newest at the bottom; reply and the other phone shows it at once</t>
        </is>
      </c>
      <c r="F2" s="3" t="inlineStr">
        <is>
          <t>Not tested</t>
        </is>
      </c>
      <c r="G2" s="3" t="inlineStr"/>
      <c r="H2" s="3" t="inlineStr"/>
      <c r="I2" s="3" t="inlineStr"/>
    </row>
    <row r="3">
      <c r="A3" s="3" t="inlineStr">
        <is>
          <t>T02</t>
        </is>
      </c>
      <c r="B3" s="3" t="inlineStr">
        <is>
          <t>Messages</t>
        </is>
      </c>
      <c r="C3" s="3" t="inlineStr">
        <is>
          <t>Android</t>
        </is>
      </c>
      <c r="D3" s="3" t="inlineStr">
        <is>
          <t>Messages: tap a person in the row at the top</t>
        </is>
      </c>
      <c r="E3" s="3" t="inlineStr">
        <is>
          <t>A chat with that person opens (the same one again next time)</t>
        </is>
      </c>
      <c r="F3" s="3" t="inlineStr">
        <is>
          <t>Not tested</t>
        </is>
      </c>
      <c r="G3" s="3" t="inlineStr"/>
      <c r="H3" s="3" t="inlineStr"/>
      <c r="I3" s="3" t="inlineStr"/>
    </row>
    <row r="4">
      <c r="A4" s="3" t="inlineStr">
        <is>
          <t>T03</t>
        </is>
      </c>
      <c r="B4" s="3" t="inlineStr">
        <is>
          <t>Messages</t>
        </is>
      </c>
      <c r="C4" s="3" t="inlineStr">
        <is>
          <t>Android</t>
        </is>
      </c>
      <c r="D4" s="3" t="inlineStr">
        <is>
          <t>Tap a message</t>
        </is>
      </c>
      <c r="E4" s="3" t="inlineStr">
        <is>
          <t>Its reactions and Remove (own messages) show; tap again to hide</t>
        </is>
      </c>
      <c r="F4" s="3" t="inlineStr">
        <is>
          <t>Not tested</t>
        </is>
      </c>
      <c r="G4" s="3" t="inlineStr"/>
      <c r="H4" s="3" t="inlineStr"/>
      <c r="I4" s="3" t="inlineStr"/>
    </row>
    <row r="5">
      <c r="A5" s="3" t="inlineStr">
        <is>
          <t>T04</t>
        </is>
      </c>
      <c r="B5" s="3" t="inlineStr">
        <is>
          <t>Ping</t>
        </is>
      </c>
      <c r="C5" s="3" t="inlineStr">
        <is>
          <t>Laptop + Android</t>
        </is>
      </c>
      <c r="D5" s="3" t="inlineStr">
        <is>
          <t>Leave the Ping screen open on the laptop; switch the Android's Wi-Fi off, wait 2 minutes</t>
        </is>
      </c>
      <c r="E5" s="3" t="inlineStr">
        <is>
          <t>Within about 15 s of the 2 minutes the Android shows (offline) in the list, without reloading</t>
        </is>
      </c>
      <c r="F5" s="3" t="inlineStr">
        <is>
          <t>Not tested</t>
        </is>
      </c>
      <c r="G5" s="3" t="inlineStr"/>
      <c r="H5" s="3" t="inlineStr"/>
      <c r="I5" s="3" t="inlineStr"/>
    </row>
    <row r="6">
      <c r="A6" s="3" t="inlineStr">
        <is>
          <t>T05</t>
        </is>
      </c>
      <c r="B6" s="3" t="inlineStr">
        <is>
          <t>Ping</t>
        </is>
      </c>
      <c r="C6" s="3" t="inlineStr">
        <is>
          <t>Laptop → Android</t>
        </is>
      </c>
      <c r="D6" s="3" t="inlineStr">
        <is>
          <t>Send a ping to the Android; on the Android answer On my way; on the laptop press Take back</t>
        </is>
      </c>
      <c r="E6" s="3" t="inlineStr">
        <is>
          <t>The Android shows Called off by … with the text, and beeps</t>
        </is>
      </c>
      <c r="F6" s="3" t="inlineStr">
        <is>
          <t>Not tested</t>
        </is>
      </c>
      <c r="G6" s="3" t="inlineStr"/>
      <c r="H6" s="3" t="inlineStr"/>
      <c r="I6" s="3" t="inlineStr"/>
    </row>
    <row r="7">
      <c r="A7" s="3" t="inlineStr">
        <is>
          <t>T06</t>
        </is>
      </c>
      <c r="B7" s="3" t="inlineStr">
        <is>
          <t>Cashier</t>
        </is>
      </c>
      <c r="C7" s="3" t="inlineStr">
        <is>
          <t>Android (Cal Cashier)</t>
        </is>
      </c>
      <c r="D7" s="3" t="inlineStr">
        <is>
          <t>Look at Home</t>
        </is>
      </c>
      <c r="E7" s="3" t="inlineStr">
        <is>
          <t>Only Sell, Products, Time sheets (own), Roster, Time clock, People (Me), Messages, Customers; no Stock, Expenses, Delivery, Orders, Team, Dashboard</t>
        </is>
      </c>
      <c r="F7" s="3" t="inlineStr">
        <is>
          <t>Not tested</t>
        </is>
      </c>
      <c r="G7" s="3" t="inlineStr"/>
      <c r="H7" s="3" t="inlineStr"/>
      <c r="I7" s="3" t="inlineStr"/>
    </row>
    <row r="8">
      <c r="A8" s="3" t="inlineStr">
        <is>
          <t>T07</t>
        </is>
      </c>
      <c r="B8" s="3" t="inlineStr">
        <is>
          <t>Cashier</t>
        </is>
      </c>
      <c r="C8" s="3" t="inlineStr">
        <is>
          <t>Android (Cal Cashier)</t>
        </is>
      </c>
      <c r="D8" s="3" t="inlineStr">
        <is>
          <t>Type …/#expenses in the address bar</t>
        </is>
      </c>
      <c r="E8" s="3" t="inlineStr">
        <is>
          <t>Goes to Home</t>
        </is>
      </c>
      <c r="F8" s="3" t="inlineStr">
        <is>
          <t>Not tested</t>
        </is>
      </c>
      <c r="G8" s="3" t="inlineStr"/>
      <c r="H8" s="3" t="inlineStr"/>
      <c r="I8" s="3" t="inlineStr"/>
    </row>
    <row r="9">
      <c r="A9" s="3" t="inlineStr">
        <is>
          <t>T08</t>
        </is>
      </c>
      <c r="B9" s="3" t="inlineStr">
        <is>
          <t>Sell</t>
        </is>
      </c>
      <c r="C9" s="3" t="inlineStr">
        <is>
          <t>Till</t>
        </is>
      </c>
      <c r="D9" s="3" t="inlineStr">
        <is>
          <t>Sell 5 of a product that has 2 in stock</t>
        </is>
      </c>
      <c r="E9" s="3" t="inlineStr">
        <is>
          <t>No message; the sale completes</t>
        </is>
      </c>
      <c r="F9" s="3" t="inlineStr">
        <is>
          <t>Not tested</t>
        </is>
      </c>
      <c r="G9" s="3" t="inlineStr"/>
      <c r="H9" s="3" t="inlineStr"/>
      <c r="I9" s="3" t="inlineStr"/>
    </row>
    <row r="10">
      <c r="A10" s="3" t="inlineStr">
        <is>
          <t>T09</t>
        </is>
      </c>
      <c r="B10" s="3" t="inlineStr">
        <is>
          <t>Sell</t>
        </is>
      </c>
      <c r="C10" s="3" t="inlineStr">
        <is>
          <t>Laptop (manager)</t>
        </is>
      </c>
      <c r="D10" s="3" t="inlineStr">
        <is>
          <t>After T08: Home tasks and the inbox</t>
        </is>
      </c>
      <c r="E10" s="3" t="inlineStr">
        <is>
          <t>Urgent task 'Sold more than in stock: … is at -3'; an inbox alert; nothing was shown on the till</t>
        </is>
      </c>
      <c r="F10" s="3" t="inlineStr">
        <is>
          <t>Not tested</t>
        </is>
      </c>
      <c r="G10" s="3" t="inlineStr"/>
      <c r="H10" s="3" t="inlineStr"/>
      <c r="I10" s="3" t="inlineStr"/>
    </row>
    <row r="11">
      <c r="A11" s="3" t="inlineStr">
        <is>
          <t>T10</t>
        </is>
      </c>
      <c r="B11" s="3" t="inlineStr">
        <is>
          <t>Products</t>
        </is>
      </c>
      <c r="C11" s="3" t="inlineStr">
        <is>
          <t>Laptop (manager)</t>
        </is>
      </c>
      <c r="D11" s="3" t="inlineStr">
        <is>
          <t>Products → Below zero (to count) → Print for counting</t>
        </is>
      </c>
      <c r="E11" s="3" t="inlineStr">
        <is>
          <t>The product from T08 with its code and an empty Counted column; prints as a sheet with the date</t>
        </is>
      </c>
      <c r="F11" s="3" t="inlineStr">
        <is>
          <t>Not tested</t>
        </is>
      </c>
      <c r="G11" s="3" t="inlineStr"/>
      <c r="H11" s="3" t="inlineStr"/>
      <c r="I11" s="3" t="inlineStr"/>
    </row>
    <row r="12">
      <c r="A12" s="3" t="inlineStr">
        <is>
          <t>T11</t>
        </is>
      </c>
      <c r="B12" s="3" t="inlineStr">
        <is>
          <t>Products</t>
        </is>
      </c>
      <c r="C12" s="3" t="inlineStr">
        <is>
          <t>Laptop (manager)</t>
        </is>
      </c>
      <c r="D12" s="3" t="inlineStr">
        <is>
          <t>New product: Brand, Supplier, Stock to add now 12, Received on yesterday; save</t>
        </is>
      </c>
      <c r="E12" s="3" t="inlineStr">
        <is>
          <t>Saved with brand and supplier; Stock shows 12, received yesterday</t>
        </is>
      </c>
      <c r="F12" s="3" t="inlineStr">
        <is>
          <t>Not tested</t>
        </is>
      </c>
      <c r="G12" s="3" t="inlineStr"/>
      <c r="H12" s="3" t="inlineStr"/>
      <c r="I12" s="3" t="inlineStr"/>
    </row>
    <row r="13">
      <c r="A13" s="3" t="inlineStr">
        <is>
          <t>T12</t>
        </is>
      </c>
      <c r="B13" s="3" t="inlineStr">
        <is>
          <t>Products</t>
        </is>
      </c>
      <c r="C13" s="3" t="inlineStr">
        <is>
          <t>Laptop (manager)</t>
        </is>
      </c>
      <c r="D13" s="3" t="inlineStr">
        <is>
          <t>Open a product → Duplicate → change the name and size → add its barcode → save</t>
        </is>
      </c>
      <c r="E13" s="3" t="inlineStr">
        <is>
          <t>A new product; the original unchanged</t>
        </is>
      </c>
      <c r="F13" s="3" t="inlineStr">
        <is>
          <t>Not tested</t>
        </is>
      </c>
      <c r="G13" s="3" t="inlineStr"/>
      <c r="H13" s="3" t="inlineStr"/>
      <c r="I13" s="3" t="inlineStr"/>
    </row>
    <row r="14">
      <c r="A14" s="3" t="inlineStr">
        <is>
          <t>T13</t>
        </is>
      </c>
      <c r="B14" s="3" t="inlineStr">
        <is>
          <t>Vendors</t>
        </is>
      </c>
      <c r="C14" s="3" t="inlineStr">
        <is>
          <t>Laptop (manager)</t>
        </is>
      </c>
      <c r="D14" s="3" t="inlineStr">
        <is>
          <t>Vendors and clients → Coastal → Change: How we order: portal, account, user name, cut-off; save</t>
        </is>
      </c>
      <c r="E14" s="3" t="inlineStr">
        <is>
          <t>Shown under the vendor with 'open their portal'; no password field anywhere</t>
        </is>
      </c>
      <c r="F14" s="3" t="inlineStr">
        <is>
          <t>Not tested</t>
        </is>
      </c>
      <c r="G14" s="3" t="inlineStr"/>
      <c r="H14" s="3" t="inlineStr"/>
      <c r="I14" s="3" t="inlineStr"/>
    </row>
    <row r="15">
      <c r="A15" s="3" t="inlineStr">
        <is>
          <t>T14</t>
        </is>
      </c>
      <c r="B15" s="3" t="inlineStr">
        <is>
          <t>Vendors</t>
        </is>
      </c>
      <c r="C15" s="3" t="inlineStr">
        <is>
          <t>Laptop (manager)</t>
        </is>
      </c>
      <c r="D15" s="3" t="inlineStr">
        <is>
          <t>Coastal: Products / Consignment / Bills and invoices / Orders tabs</t>
        </is>
      </c>
      <c r="E15" s="3" t="inlineStr">
        <is>
          <t>What they sell us with prices and changes, consignment owed, their bills and invoices with what is open, the orders</t>
        </is>
      </c>
      <c r="F15" s="3" t="inlineStr">
        <is>
          <t>Not tested</t>
        </is>
      </c>
      <c r="G15" s="3" t="inlineStr"/>
      <c r="H15" s="3" t="inlineStr"/>
      <c r="I15" s="3" t="inlineStr"/>
    </row>
    <row r="16">
      <c r="A16" s="3" t="inlineStr">
        <is>
          <t>T15</t>
        </is>
      </c>
      <c r="B16" s="3" t="inlineStr">
        <is>
          <t>Buying</t>
        </is>
      </c>
      <c r="C16" s="3" t="inlineStr">
        <is>
          <t>Laptop (manager)</t>
        </is>
      </c>
      <c r="D16" s="3" t="inlineStr">
        <is>
          <t>Buying → Buy: best supplier: Cola, 48</t>
        </is>
      </c>
      <c r="E16" s="3" t="inlineStr">
        <is>
          <t>Vendors ranked by cost per can with why (last bought, price change, lead time); contacts and portal</t>
        </is>
      </c>
      <c r="F16" s="3" t="inlineStr">
        <is>
          <t>Not tested</t>
        </is>
      </c>
      <c r="G16" s="3" t="inlineStr"/>
      <c r="H16" s="3" t="inlineStr"/>
      <c r="I16" s="3" t="inlineStr"/>
    </row>
    <row r="17">
      <c r="A17" s="3" t="inlineStr">
        <is>
          <t>T16</t>
        </is>
      </c>
      <c r="B17" s="3" t="inlineStr">
        <is>
          <t>Buying</t>
        </is>
      </c>
      <c r="C17" s="3" t="inlineStr">
        <is>
          <t>Laptop (manager)</t>
        </is>
      </c>
      <c r="D17" s="3" t="inlineStr">
        <is>
          <t>On the best one: Make a draft order; on a portal vendor: Quick-order file + open portal</t>
        </is>
      </c>
      <c r="E17" s="3" t="inlineStr">
        <is>
          <t>A draft purchase order; a CSV of their codes and quantities is downloaded and their portal opens</t>
        </is>
      </c>
      <c r="F17" s="3" t="inlineStr">
        <is>
          <t>Not tested</t>
        </is>
      </c>
      <c r="G17" s="3" t="inlineStr"/>
      <c r="H17" s="3" t="inlineStr"/>
      <c r="I17" s="3" t="inlineStr"/>
    </row>
    <row r="18">
      <c r="A18" s="3" t="inlineStr">
        <is>
          <t>T17</t>
        </is>
      </c>
      <c r="B18" s="3" t="inlineStr">
        <is>
          <t>Scale</t>
        </is>
      </c>
      <c r="C18" s="3" t="inlineStr">
        <is>
          <t>Till PC (Chrome) with a USB scale</t>
        </is>
      </c>
      <c r="D18" s="3" t="inlineStr">
        <is>
          <t>Receipt printer → Scale: switch on, choose this till's scale, Test; then sell bananas</t>
        </is>
      </c>
      <c r="E18" s="3" t="inlineStr">
        <is>
          <t>The weight is read by itself; typing it still works (needs a scale: else Blocked)</t>
        </is>
      </c>
      <c r="F18" s="3" t="inlineStr">
        <is>
          <t>Not tested</t>
        </is>
      </c>
      <c r="G18" s="3" t="inlineStr"/>
      <c r="H18" s="3" t="inlineStr"/>
      <c r="I18" s="3" t="inlineStr"/>
    </row>
    <row r="19">
      <c r="A19" s="3" t="inlineStr">
        <is>
          <t>T18</t>
        </is>
      </c>
      <c r="B19" s="3" t="inlineStr">
        <is>
          <t>Home</t>
        </is>
      </c>
      <c r="C19" s="3" t="inlineStr">
        <is>
          <t>Any</t>
        </is>
      </c>
      <c r="D19" s="3" t="inlineStr">
        <is>
          <t>Look at Home</t>
        </is>
      </c>
      <c r="E19" s="3" t="inlineStr">
        <is>
          <t>No 'Coming in a later phase' tiles</t>
        </is>
      </c>
      <c r="F19" s="3" t="inlineStr">
        <is>
          <t>Not tested</t>
        </is>
      </c>
      <c r="G19" s="3" t="inlineStr"/>
      <c r="H19" s="3" t="inlineStr"/>
      <c r="I19" s="3" t="inlineStr"/>
    </row>
  </sheetData>
  <autoFilter ref="A1:I19"/>
  <conditionalFormatting sqref="F2:F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tested"</formula>
    </cfRule>
  </conditionalFormatting>
  <dataValidations count="1">
    <dataValidation sqref="F2:F19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Area</t>
        </is>
      </c>
      <c r="B1" s="4" t="inlineStr">
        <is>
          <t>Checks</t>
        </is>
      </c>
      <c r="C1" s="4" t="inlineStr">
        <is>
          <t>Pass</t>
        </is>
      </c>
      <c r="D1" s="4" t="inlineStr">
        <is>
          <t>Fail</t>
        </is>
      </c>
      <c r="E1" s="4" t="inlineStr">
        <is>
          <t>Blocked</t>
        </is>
      </c>
      <c r="F1" s="4" t="inlineStr">
        <is>
          <t>Not tested</t>
        </is>
      </c>
    </row>
    <row r="2">
      <c r="A2" t="inlineStr">
        <is>
          <t>Messages</t>
        </is>
      </c>
      <c r="B2">
        <f>COUNTIF(Tests!B:B,A2)</f>
        <v/>
      </c>
      <c r="C2">
        <f>COUNTIFS(Tests!B:B,A2,Tests!F:F,"Pass")</f>
        <v/>
      </c>
      <c r="D2">
        <f>COUNTIFS(Tests!B:B,A2,Tests!F:F,"Fail")</f>
        <v/>
      </c>
      <c r="E2">
        <f>COUNTIFS(Tests!B:B,A2,Tests!F:F,"Blocked")</f>
        <v/>
      </c>
      <c r="F2">
        <f>COUNTIFS(Tests!B:B,A2,Tests!F:F,"Not tested")</f>
        <v/>
      </c>
    </row>
    <row r="3">
      <c r="A3" t="inlineStr">
        <is>
          <t>Ping</t>
        </is>
      </c>
      <c r="B3">
        <f>COUNTIF(Tests!B:B,A3)</f>
        <v/>
      </c>
      <c r="C3">
        <f>COUNTIFS(Tests!B:B,A3,Tests!F:F,"Pass")</f>
        <v/>
      </c>
      <c r="D3">
        <f>COUNTIFS(Tests!B:B,A3,Tests!F:F,"Fail")</f>
        <v/>
      </c>
      <c r="E3">
        <f>COUNTIFS(Tests!B:B,A3,Tests!F:F,"Blocked")</f>
        <v/>
      </c>
      <c r="F3">
        <f>COUNTIFS(Tests!B:B,A3,Tests!F:F,"Not tested")</f>
        <v/>
      </c>
    </row>
    <row r="4">
      <c r="A4" t="inlineStr">
        <is>
          <t>Cashier</t>
        </is>
      </c>
      <c r="B4">
        <f>COUNTIF(Tests!B:B,A4)</f>
        <v/>
      </c>
      <c r="C4">
        <f>COUNTIFS(Tests!B:B,A4,Tests!F:F,"Pass")</f>
        <v/>
      </c>
      <c r="D4">
        <f>COUNTIFS(Tests!B:B,A4,Tests!F:F,"Fail")</f>
        <v/>
      </c>
      <c r="E4">
        <f>COUNTIFS(Tests!B:B,A4,Tests!F:F,"Blocked")</f>
        <v/>
      </c>
      <c r="F4">
        <f>COUNTIFS(Tests!B:B,A4,Tests!F:F,"Not tested")</f>
        <v/>
      </c>
    </row>
    <row r="5">
      <c r="A5" t="inlineStr">
        <is>
          <t>Sell</t>
        </is>
      </c>
      <c r="B5">
        <f>COUNTIF(Tests!B:B,A5)</f>
        <v/>
      </c>
      <c r="C5">
        <f>COUNTIFS(Tests!B:B,A5,Tests!F:F,"Pass")</f>
        <v/>
      </c>
      <c r="D5">
        <f>COUNTIFS(Tests!B:B,A5,Tests!F:F,"Fail")</f>
        <v/>
      </c>
      <c r="E5">
        <f>COUNTIFS(Tests!B:B,A5,Tests!F:F,"Blocked")</f>
        <v/>
      </c>
      <c r="F5">
        <f>COUNTIFS(Tests!B:B,A5,Tests!F:F,"Not tested")</f>
        <v/>
      </c>
    </row>
    <row r="6">
      <c r="A6" t="inlineStr">
        <is>
          <t>Products</t>
        </is>
      </c>
      <c r="B6">
        <f>COUNTIF(Tests!B:B,A6)</f>
        <v/>
      </c>
      <c r="C6">
        <f>COUNTIFS(Tests!B:B,A6,Tests!F:F,"Pass")</f>
        <v/>
      </c>
      <c r="D6">
        <f>COUNTIFS(Tests!B:B,A6,Tests!F:F,"Fail")</f>
        <v/>
      </c>
      <c r="E6">
        <f>COUNTIFS(Tests!B:B,A6,Tests!F:F,"Blocked")</f>
        <v/>
      </c>
      <c r="F6">
        <f>COUNTIFS(Tests!B:B,A6,Tests!F:F,"Not tested")</f>
        <v/>
      </c>
    </row>
    <row r="7">
      <c r="A7" t="inlineStr">
        <is>
          <t>Vendors</t>
        </is>
      </c>
      <c r="B7">
        <f>COUNTIF(Tests!B:B,A7)</f>
        <v/>
      </c>
      <c r="C7">
        <f>COUNTIFS(Tests!B:B,A7,Tests!F:F,"Pass")</f>
        <v/>
      </c>
      <c r="D7">
        <f>COUNTIFS(Tests!B:B,A7,Tests!F:F,"Fail")</f>
        <v/>
      </c>
      <c r="E7">
        <f>COUNTIFS(Tests!B:B,A7,Tests!F:F,"Blocked")</f>
        <v/>
      </c>
      <c r="F7">
        <f>COUNTIFS(Tests!B:B,A7,Tests!F:F,"Not tested")</f>
        <v/>
      </c>
    </row>
    <row r="8">
      <c r="A8" t="inlineStr">
        <is>
          <t>Buying</t>
        </is>
      </c>
      <c r="B8">
        <f>COUNTIF(Tests!B:B,A8)</f>
        <v/>
      </c>
      <c r="C8">
        <f>COUNTIFS(Tests!B:B,A8,Tests!F:F,"Pass")</f>
        <v/>
      </c>
      <c r="D8">
        <f>COUNTIFS(Tests!B:B,A8,Tests!F:F,"Fail")</f>
        <v/>
      </c>
      <c r="E8">
        <f>COUNTIFS(Tests!B:B,A8,Tests!F:F,"Blocked")</f>
        <v/>
      </c>
      <c r="F8">
        <f>COUNTIFS(Tests!B:B,A8,Tests!F:F,"Not tested")</f>
        <v/>
      </c>
    </row>
    <row r="9">
      <c r="A9" t="inlineStr">
        <is>
          <t>Scale</t>
        </is>
      </c>
      <c r="B9">
        <f>COUNTIF(Tests!B:B,A9)</f>
        <v/>
      </c>
      <c r="C9">
        <f>COUNTIFS(Tests!B:B,A9,Tests!F:F,"Pass")</f>
        <v/>
      </c>
      <c r="D9">
        <f>COUNTIFS(Tests!B:B,A9,Tests!F:F,"Fail")</f>
        <v/>
      </c>
      <c r="E9">
        <f>COUNTIFS(Tests!B:B,A9,Tests!F:F,"Blocked")</f>
        <v/>
      </c>
      <c r="F9">
        <f>COUNTIFS(Tests!B:B,A9,Tests!F:F,"Not tested")</f>
        <v/>
      </c>
    </row>
    <row r="10">
      <c r="A10" t="inlineStr">
        <is>
          <t>Home</t>
        </is>
      </c>
      <c r="B10">
        <f>COUNTIF(Tests!B:B,A10)</f>
        <v/>
      </c>
      <c r="C10">
        <f>COUNTIFS(Tests!B:B,A10,Tests!F:F,"Pass")</f>
        <v/>
      </c>
      <c r="D10">
        <f>COUNTIFS(Tests!B:B,A10,Tests!F:F,"Fail")</f>
        <v/>
      </c>
      <c r="E10">
        <f>COUNTIFS(Tests!B:B,A10,Tests!F:F,"Blocked")</f>
        <v/>
      </c>
      <c r="F10">
        <f>COUNTIFS(Tests!B:B,A10,Tests!F:F,"Not tested")</f>
        <v/>
      </c>
    </row>
    <row r="11">
      <c r="A11" s="5" t="inlineStr">
        <is>
          <t>All</t>
        </is>
      </c>
      <c r="B11" s="5">
        <f>SUM(B2:B10)</f>
        <v/>
      </c>
      <c r="C11" s="5">
        <f>SUM(C2:C10)</f>
        <v/>
      </c>
      <c r="D11" s="5">
        <f>SUM(D2:D10)</f>
        <v/>
      </c>
      <c r="E11" s="5">
        <f>SUM(E2:E10)</f>
        <v/>
      </c>
      <c r="F11" s="5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2026-10-11T18:26:13Z</dcterms:created>
  <dcterms:modified xsi:type="dcterms:W3CDTF">2026-10-11T18:26:13Z</dcterms:modified>
</cp:coreProperties>
</file>