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name="Before you start" sheetId="1" state="visible" r:id="rId1"/>
    <sheet name="Tests" sheetId="2" state="visible" r:id="rId2"/>
    <sheet name="Summary" sheetId="3" state="visible" r:id="rId3"/>
  </sheets>
  <definedNames>
    <definedName name="_xlnm._FilterDatabase" localSheetId="1" hidden="1">'Tests'!$A$1:$I$39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FFFFFF"/>
    </font>
    <font>
      <b val="1"/>
    </font>
    <font>
      <b val="1"/>
      <sz val="13"/>
    </font>
  </fonts>
  <fills count="3">
    <fill>
      <patternFill/>
    </fill>
    <fill>
      <patternFill patternType="gray125"/>
    </fill>
    <fill>
      <patternFill patternType="solid">
        <fgColor rgb="001F6F43"/>
      </patternFill>
    </fill>
  </fills>
  <borders count="2">
    <border>
      <left/>
      <right/>
      <top/>
      <bottom/>
      <diagonal/>
    </border>
    <border>
      <left style="thin">
        <color rgb="00BBBBBB"/>
      </left>
      <right style="thin">
        <color rgb="00BBBBBB"/>
      </right>
      <top style="thin">
        <color rgb="00BBBBBB"/>
      </top>
      <bottom style="thin">
        <color rgb="00BBBBBB"/>
      </bottom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3" fillId="0" borderId="0" pivotButton="0" quotePrefix="0" xfId="0"/>
    <xf numFmtId="0" fontId="1" fillId="2" borderId="0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  <xf numFmtId="0" fontId="1" fillId="2" borderId="0" pivotButton="0" quotePrefix="0" xfId="0"/>
    <xf numFmtId="0" fontId="2" fillId="0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EDEDED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4"/>
  <sheetViews>
    <sheetView workbookViewId="0">
      <selection activeCell="A1" sqref="A1"/>
    </sheetView>
  </sheetViews>
  <sheetFormatPr baseColWidth="8" defaultRowHeight="15"/>
  <cols>
    <col width="130" customWidth="1" min="1" max="1"/>
  </cols>
  <sheetData>
    <row r="1">
      <c r="A1" s="1" t="inlineStr">
        <is>
          <t>Chedam manual tests: P4 People and money (grows with each build step; tested in the P2-P4 test week)</t>
        </is>
      </c>
    </row>
    <row r="2">
      <c r="A2" t="inlineStr"/>
    </row>
    <row r="3">
      <c r="A3" t="inlineStr">
        <is>
          <t>Laptop and iPhone; Android later. Sample people: Demo Owner, Mira Manager, Ana Accountant, Cal Cashier, Sam Staff.</t>
        </is>
      </c>
    </row>
    <row r="4">
      <c r="A4" t="inlineStr">
        <is>
          <t>For each row: do what it says, compare with 'What should happen', choose Pass / Fail / Blocked, and write what happened when it is not a Pass.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3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20" customWidth="1" min="2" max="2"/>
    <col width="22" customWidth="1" min="3" max="3"/>
    <col width="60" customWidth="1" min="4" max="4"/>
    <col width="60" customWidth="1" min="5" max="5"/>
    <col width="13" customWidth="1" min="6" max="6"/>
    <col width="45" customWidth="1" min="7" max="7"/>
    <col width="12" customWidth="1" min="8" max="8"/>
    <col width="12" customWidth="1" min="9" max="9"/>
  </cols>
  <sheetData>
    <row r="1">
      <c r="A1" s="2" t="inlineStr">
        <is>
          <t>ID</t>
        </is>
      </c>
      <c r="B1" s="2" t="inlineStr">
        <is>
          <t>Area</t>
        </is>
      </c>
      <c r="C1" s="2" t="inlineStr">
        <is>
          <t>Device / needs</t>
        </is>
      </c>
      <c r="D1" s="2" t="inlineStr">
        <is>
          <t>What to do</t>
        </is>
      </c>
      <c r="E1" s="2" t="inlineStr">
        <is>
          <t>What should happen</t>
        </is>
      </c>
      <c r="F1" s="2" t="inlineStr">
        <is>
          <t>Result</t>
        </is>
      </c>
      <c r="G1" s="2" t="inlineStr">
        <is>
          <t>Notes (what happened)</t>
        </is>
      </c>
      <c r="H1" s="2" t="inlineStr">
        <is>
          <t>Tester</t>
        </is>
      </c>
      <c r="I1" s="2" t="inlineStr">
        <is>
          <t>Date</t>
        </is>
      </c>
    </row>
    <row r="2">
      <c r="A2" s="3" t="inlineStr">
        <is>
          <t>H01</t>
        </is>
      </c>
      <c r="B2" s="3" t="inlineStr">
        <is>
          <t>People</t>
        </is>
      </c>
      <c r="C2" s="3" t="inlineStr">
        <is>
          <t>Laptop (owner)</t>
        </is>
      </c>
      <c r="D2" s="3" t="inlineStr">
        <is>
          <t>Home → People → Add a record: Cal Cashier, legal name, hourly $17.85, SIN 046 454 286, bank 001-12345-1234567</t>
        </is>
      </c>
      <c r="E2" s="3" t="inlineStr">
        <is>
          <t>Saved; SIN shown as •••-•••-286, account as ••••567</t>
        </is>
      </c>
      <c r="F2" s="3" t="inlineStr">
        <is>
          <t>Not tested</t>
        </is>
      </c>
      <c r="G2" s="3" t="inlineStr"/>
      <c r="H2" s="3" t="inlineStr"/>
      <c r="I2" s="3" t="inlineStr"/>
    </row>
    <row r="3">
      <c r="A3" s="3" t="inlineStr">
        <is>
          <t>H02</t>
        </is>
      </c>
      <c r="B3" s="3" t="inlineStr">
        <is>
          <t>People</t>
        </is>
      </c>
      <c r="C3" s="3" t="inlineStr">
        <is>
          <t>Laptop (owner)</t>
        </is>
      </c>
      <c r="D3" s="3" t="inlineStr">
        <is>
          <t>Try a SIN 123 456 789</t>
        </is>
      </c>
      <c r="E3" s="3" t="inlineStr">
        <is>
          <t>Refused: the SIN is not valid</t>
        </is>
      </c>
      <c r="F3" s="3" t="inlineStr">
        <is>
          <t>Not tested</t>
        </is>
      </c>
      <c r="G3" s="3" t="inlineStr"/>
      <c r="H3" s="3" t="inlineStr"/>
      <c r="I3" s="3" t="inlineStr"/>
    </row>
    <row r="4">
      <c r="A4" s="3" t="inlineStr">
        <is>
          <t>H03</t>
        </is>
      </c>
      <c r="B4" s="3" t="inlineStr">
        <is>
          <t>People</t>
        </is>
      </c>
      <c r="C4" s="3" t="inlineStr">
        <is>
          <t>Laptop (owner)</t>
        </is>
      </c>
      <c r="D4" s="3" t="inlineStr">
        <is>
          <t>Open Cal → SIN → Show</t>
        </is>
      </c>
      <c r="E4" s="3" t="inlineStr">
        <is>
          <t>Asks first; shows 046-454-286</t>
        </is>
      </c>
      <c r="F4" s="3" t="inlineStr">
        <is>
          <t>Not tested</t>
        </is>
      </c>
      <c r="G4" s="3" t="inlineStr"/>
      <c r="H4" s="3" t="inlineStr"/>
      <c r="I4" s="3" t="inlineStr"/>
    </row>
    <row r="5">
      <c r="A5" s="3" t="inlineStr">
        <is>
          <t>H04</t>
        </is>
      </c>
      <c r="B5" s="3" t="inlineStr">
        <is>
          <t>People</t>
        </is>
      </c>
      <c r="C5" s="3" t="inlineStr">
        <is>
          <t>Laptop (manager)</t>
        </is>
      </c>
      <c r="D5" s="3" t="inlineStr">
        <is>
          <t>Home → People → open Cal</t>
        </is>
      </c>
      <c r="E5" s="3" t="inlineStr">
        <is>
          <t>Record and emergency contact; no pay, bank, SIN digits or personal phone</t>
        </is>
      </c>
      <c r="F5" s="3" t="inlineStr">
        <is>
          <t>Not tested</t>
        </is>
      </c>
      <c r="G5" s="3" t="inlineStr"/>
      <c r="H5" s="3" t="inlineStr"/>
      <c r="I5" s="3" t="inlineStr"/>
    </row>
    <row r="6">
      <c r="A6" s="3" t="inlineStr">
        <is>
          <t>H05</t>
        </is>
      </c>
      <c r="B6" s="3" t="inlineStr">
        <is>
          <t>People</t>
        </is>
      </c>
      <c r="C6" s="3" t="inlineStr">
        <is>
          <t>Phone (Cal)</t>
        </is>
      </c>
      <c r="D6" s="3" t="inlineStr">
        <is>
          <t>Home → People → Me</t>
        </is>
      </c>
      <c r="E6" s="3" t="inlineStr">
        <is>
          <t>Own record, address and phone, leave balances; no pay or bank; no Staff tab</t>
        </is>
      </c>
      <c r="F6" s="3" t="inlineStr">
        <is>
          <t>Not tested</t>
        </is>
      </c>
      <c r="G6" s="3" t="inlineStr"/>
      <c r="H6" s="3" t="inlineStr"/>
      <c r="I6" s="3" t="inlineStr"/>
    </row>
    <row r="7">
      <c r="A7" s="3" t="inlineStr">
        <is>
          <t>H06</t>
        </is>
      </c>
      <c r="B7" s="3" t="inlineStr">
        <is>
          <t>Leave</t>
        </is>
      </c>
      <c r="C7" s="3" t="inlineStr">
        <is>
          <t>Laptop (manager)</t>
        </is>
      </c>
      <c r="D7" s="3" t="inlineStr">
        <is>
          <t>Open a salaried person → Record leave taken: sick 8 h</t>
        </is>
      </c>
      <c r="E7" s="3" t="inlineStr">
        <is>
          <t>Sick balance down 8 h; in the history with your name</t>
        </is>
      </c>
      <c r="F7" s="3" t="inlineStr">
        <is>
          <t>Not tested</t>
        </is>
      </c>
      <c r="G7" s="3" t="inlineStr"/>
      <c r="H7" s="3" t="inlineStr"/>
      <c r="I7" s="3" t="inlineStr"/>
    </row>
    <row r="8">
      <c r="A8" s="3" t="inlineStr">
        <is>
          <t>H07</t>
        </is>
      </c>
      <c r="B8" s="3" t="inlineStr">
        <is>
          <t>Leave</t>
        </is>
      </c>
      <c r="C8" s="3" t="inlineStr">
        <is>
          <t>Laptop (manager)</t>
        </is>
      </c>
      <c r="D8" s="3" t="inlineStr">
        <is>
          <t>Record more vacation than is left</t>
        </is>
      </c>
      <c r="E8" s="3" t="inlineStr">
        <is>
          <t>Refused: only … hours left</t>
        </is>
      </c>
      <c r="F8" s="3" t="inlineStr">
        <is>
          <t>Not tested</t>
        </is>
      </c>
      <c r="G8" s="3" t="inlineStr"/>
      <c r="H8" s="3" t="inlineStr"/>
      <c r="I8" s="3" t="inlineStr"/>
    </row>
    <row r="9">
      <c r="A9" s="3" t="inlineStr">
        <is>
          <t>H08</t>
        </is>
      </c>
      <c r="B9" s="3" t="inlineStr">
        <is>
          <t>Leave</t>
        </is>
      </c>
      <c r="C9" s="3" t="inlineStr">
        <is>
          <t>Laptop (owner)</t>
        </is>
      </c>
      <c r="D9" s="3" t="inlineStr">
        <is>
          <t>Adjust a balance: vacation +16 h without a reason, then with one</t>
        </is>
      </c>
      <c r="E9" s="3" t="inlineStr">
        <is>
          <t>Refused without; added with the reason in the history</t>
        </is>
      </c>
      <c r="F9" s="3" t="inlineStr">
        <is>
          <t>Not tested</t>
        </is>
      </c>
      <c r="G9" s="3" t="inlineStr"/>
      <c r="H9" s="3" t="inlineStr"/>
      <c r="I9" s="3" t="inlineStr"/>
    </row>
    <row r="10">
      <c r="A10" s="3" t="inlineStr">
        <is>
          <t>H09</t>
        </is>
      </c>
      <c r="B10" s="3" t="inlineStr">
        <is>
          <t>People</t>
        </is>
      </c>
      <c r="C10" s="3" t="inlineStr">
        <is>
          <t>Laptop (owner)</t>
        </is>
      </c>
      <c r="D10" s="3" t="inlineStr">
        <is>
          <t>Change the record: add a PDF contract</t>
        </is>
      </c>
      <c r="E10" s="3" t="inlineStr">
        <is>
          <t>The document is listed and opens</t>
        </is>
      </c>
      <c r="F10" s="3" t="inlineStr">
        <is>
          <t>Not tested</t>
        </is>
      </c>
      <c r="G10" s="3" t="inlineStr"/>
      <c r="H10" s="3" t="inlineStr"/>
      <c r="I10" s="3" t="inlineStr"/>
    </row>
    <row r="11">
      <c r="A11" s="3" t="inlineStr">
        <is>
          <t>H10</t>
        </is>
      </c>
      <c r="B11" s="3" t="inlineStr">
        <is>
          <t>People</t>
        </is>
      </c>
      <c r="C11" s="3" t="inlineStr">
        <is>
          <t>Laptop (owner)</t>
        </is>
      </c>
      <c r="D11" s="3" t="inlineStr">
        <is>
          <t>Export the staff list (CSV); open Settings → Export data</t>
        </is>
      </c>
      <c r="E11" s="3" t="inlineStr">
        <is>
          <t>The list has no pay, SIN or bank columns; the data export has no SIN or bank fields</t>
        </is>
      </c>
      <c r="F11" s="3" t="inlineStr">
        <is>
          <t>Not tested</t>
        </is>
      </c>
      <c r="G11" s="3" t="inlineStr"/>
      <c r="H11" s="3" t="inlineStr"/>
      <c r="I11" s="3" t="inlineStr"/>
    </row>
    <row r="12">
      <c r="A12" s="3" t="inlineStr">
        <is>
          <t>H20</t>
        </is>
      </c>
      <c r="B12" s="3" t="inlineStr">
        <is>
          <t>Time clock</t>
        </is>
      </c>
      <c r="C12" s="3" t="inlineStr">
        <is>
          <t>Phone (Cal)</t>
        </is>
      </c>
      <c r="D12" s="3" t="inlineStr">
        <is>
          <t>Home → Time clock → Me → Clock in</t>
        </is>
      </c>
      <c r="E12" s="3" t="inlineStr">
        <is>
          <t>Clocked in at the hub's time; Today counts up</t>
        </is>
      </c>
      <c r="F12" s="3" t="inlineStr">
        <is>
          <t>Not tested</t>
        </is>
      </c>
      <c r="G12" s="3" t="inlineStr"/>
      <c r="H12" s="3" t="inlineStr"/>
      <c r="I12" s="3" t="inlineStr"/>
    </row>
    <row r="13">
      <c r="A13" s="3" t="inlineStr">
        <is>
          <t>H21</t>
        </is>
      </c>
      <c r="B13" s="3" t="inlineStr">
        <is>
          <t>Time clock</t>
        </is>
      </c>
      <c r="C13" s="3" t="inlineStr">
        <is>
          <t>Till (shared)</t>
        </is>
      </c>
      <c r="D13" s="3" t="inlineStr">
        <is>
          <t>Time clock → Someone else: Sam, PIN → Next → Clock in</t>
        </is>
      </c>
      <c r="E13" s="3" t="inlineStr">
        <is>
          <t>Sam clocked in; the till stays signed in as before; 'On the clock now' lists Sam</t>
        </is>
      </c>
      <c r="F13" s="3" t="inlineStr">
        <is>
          <t>Not tested</t>
        </is>
      </c>
      <c r="G13" s="3" t="inlineStr"/>
      <c r="H13" s="3" t="inlineStr"/>
      <c r="I13" s="3" t="inlineStr"/>
    </row>
    <row r="14">
      <c r="A14" s="3" t="inlineStr">
        <is>
          <t>H22</t>
        </is>
      </c>
      <c r="B14" s="3" t="inlineStr">
        <is>
          <t>Time clock</t>
        </is>
      </c>
      <c r="C14" s="3" t="inlineStr">
        <is>
          <t>Till (shared)</t>
        </is>
      </c>
      <c r="D14" s="3" t="inlineStr">
        <is>
          <t>Someone else with a wrong PIN</t>
        </is>
      </c>
      <c r="E14" s="3" t="inlineStr">
        <is>
          <t>Refused: wrong name or PIN</t>
        </is>
      </c>
      <c r="F14" s="3" t="inlineStr">
        <is>
          <t>Not tested</t>
        </is>
      </c>
      <c r="G14" s="3" t="inlineStr"/>
      <c r="H14" s="3" t="inlineStr"/>
      <c r="I14" s="3" t="inlineStr"/>
    </row>
    <row r="15">
      <c r="A15" s="3" t="inlineStr">
        <is>
          <t>H23</t>
        </is>
      </c>
      <c r="B15" s="3" t="inlineStr">
        <is>
          <t>Time clock</t>
        </is>
      </c>
      <c r="C15" s="3" t="inlineStr">
        <is>
          <t>Phone (Cal)</t>
        </is>
      </c>
      <c r="D15" s="3" t="inlineStr">
        <is>
          <t>Start a break, then Back after 30+ minutes</t>
        </is>
      </c>
      <c r="E15" s="3" t="inlineStr">
        <is>
          <t>On a break since …; back: break time shown, not paid</t>
        </is>
      </c>
      <c r="F15" s="3" t="inlineStr">
        <is>
          <t>Not tested</t>
        </is>
      </c>
      <c r="G15" s="3" t="inlineStr"/>
      <c r="H15" s="3" t="inlineStr"/>
      <c r="I15" s="3" t="inlineStr"/>
    </row>
    <row r="16">
      <c r="A16" s="3" t="inlineStr">
        <is>
          <t>H24</t>
        </is>
      </c>
      <c r="B16" s="3" t="inlineStr">
        <is>
          <t>Alerts</t>
        </is>
      </c>
      <c r="C16" s="3" t="inlineStr">
        <is>
          <t>Phone (Cal)</t>
        </is>
      </c>
      <c r="D16" s="3" t="inlineStr">
        <is>
          <t>Stay clocked in 4 h 30 without a break (or ask Claude to set meal_after_hours to 1 to try it quickly)</t>
        </is>
      </c>
      <c r="E16" s="3" t="inlineStr">
        <is>
          <t>Warning: take a meal break by …; the inbox has the alert for Cal and the managers, once</t>
        </is>
      </c>
      <c r="F16" s="3" t="inlineStr">
        <is>
          <t>Not tested</t>
        </is>
      </c>
      <c r="G16" s="3" t="inlineStr"/>
      <c r="H16" s="3" t="inlineStr"/>
      <c r="I16" s="3" t="inlineStr"/>
    </row>
    <row r="17">
      <c r="A17" s="3" t="inlineStr">
        <is>
          <t>H25</t>
        </is>
      </c>
      <c r="B17" s="3" t="inlineStr">
        <is>
          <t>Alerts</t>
        </is>
      </c>
      <c r="C17" s="3" t="inlineStr">
        <is>
          <t>Phone (Cal)</t>
        </is>
      </c>
      <c r="D17" s="3" t="inlineStr">
        <is>
          <t>Near 8 hours in a day</t>
        </is>
      </c>
      <c r="E17" s="3" t="inlineStr">
        <is>
          <t>Warning: overtime starts at …</t>
        </is>
      </c>
      <c r="F17" s="3" t="inlineStr">
        <is>
          <t>Not tested</t>
        </is>
      </c>
      <c r="G17" s="3" t="inlineStr"/>
      <c r="H17" s="3" t="inlineStr"/>
      <c r="I17" s="3" t="inlineStr"/>
    </row>
    <row r="18">
      <c r="A18" s="3" t="inlineStr">
        <is>
          <t>H26</t>
        </is>
      </c>
      <c r="B18" s="3" t="inlineStr">
        <is>
          <t>Shifts</t>
        </is>
      </c>
      <c r="C18" s="3" t="inlineStr">
        <is>
          <t>Laptop (manager)</t>
        </is>
      </c>
      <c r="D18" s="3" t="inlineStr">
        <is>
          <t>Time clock → Shifts: this week</t>
        </is>
      </c>
      <c r="E18" s="3" t="inlineStr">
        <is>
          <t>Each person with paid hours, regular, overtime; flags on shifts without a meal break</t>
        </is>
      </c>
      <c r="F18" s="3" t="inlineStr">
        <is>
          <t>Not tested</t>
        </is>
      </c>
      <c r="G18" s="3" t="inlineStr"/>
      <c r="H18" s="3" t="inlineStr"/>
      <c r="I18" s="3" t="inlineStr"/>
    </row>
    <row r="19">
      <c r="A19" s="3" t="inlineStr">
        <is>
          <t>H27</t>
        </is>
      </c>
      <c r="B19" s="3" t="inlineStr">
        <is>
          <t>Shifts</t>
        </is>
      </c>
      <c r="C19" s="3" t="inlineStr">
        <is>
          <t>Laptop (manager)</t>
        </is>
      </c>
      <c r="D19" s="3" t="inlineStr">
        <is>
          <t>Fix Cal's shift (out time) without, then with a reason</t>
        </is>
      </c>
      <c r="E19" s="3" t="inlineStr">
        <is>
          <t>Refused without; saved with 'Fixed' and the original punch shown</t>
        </is>
      </c>
      <c r="F19" s="3" t="inlineStr">
        <is>
          <t>Not tested</t>
        </is>
      </c>
      <c r="G19" s="3" t="inlineStr"/>
      <c r="H19" s="3" t="inlineStr"/>
      <c r="I19" s="3" t="inlineStr"/>
    </row>
    <row r="20">
      <c r="A20" s="3" t="inlineStr">
        <is>
          <t>H28</t>
        </is>
      </c>
      <c r="B20" s="3" t="inlineStr">
        <is>
          <t>Shifts</t>
        </is>
      </c>
      <c r="C20" s="3" t="inlineStr">
        <is>
          <t>Laptop (manager)</t>
        </is>
      </c>
      <c r="D20" s="3" t="inlineStr">
        <is>
          <t>Fix your own shift</t>
        </is>
      </c>
      <c r="E20" s="3" t="inlineStr">
        <is>
          <t>Refused: someone else fixes your own punches</t>
        </is>
      </c>
      <c r="F20" s="3" t="inlineStr">
        <is>
          <t>Not tested</t>
        </is>
      </c>
      <c r="G20" s="3" t="inlineStr"/>
      <c r="H20" s="3" t="inlineStr"/>
      <c r="I20" s="3" t="inlineStr"/>
    </row>
    <row r="21">
      <c r="A21" s="3" t="inlineStr">
        <is>
          <t>H29</t>
        </is>
      </c>
      <c r="B21" s="3" t="inlineStr">
        <is>
          <t>Shifts</t>
        </is>
      </c>
      <c r="C21" s="3" t="inlineStr">
        <is>
          <t>Laptop (manager)</t>
        </is>
      </c>
      <c r="D21" s="3" t="inlineStr">
        <is>
          <t>Add a missed shift for Sam yesterday 9-13</t>
        </is>
      </c>
      <c r="E21" s="3" t="inlineStr">
        <is>
          <t>Added, marked 'Added'; an overlapping one is refused</t>
        </is>
      </c>
      <c r="F21" s="3" t="inlineStr">
        <is>
          <t>Not tested</t>
        </is>
      </c>
      <c r="G21" s="3" t="inlineStr"/>
      <c r="H21" s="3" t="inlineStr"/>
      <c r="I21" s="3" t="inlineStr"/>
    </row>
    <row r="22">
      <c r="A22" s="3" t="inlineStr">
        <is>
          <t>H30</t>
        </is>
      </c>
      <c r="B22" s="3" t="inlineStr">
        <is>
          <t>Roster</t>
        </is>
      </c>
      <c r="C22" s="3" t="inlineStr">
        <is>
          <t>Laptop (manager)</t>
        </is>
      </c>
      <c r="D22" s="3" t="inlineStr">
        <is>
          <t>Home → Roster → next week: tap + for Cal Monday, 09:00-17:30, break 30, Till</t>
        </is>
      </c>
      <c r="E22" s="3" t="inlineStr">
        <is>
          <t>A dashed (draft) shift in the grid; Publish (1 new or changed)</t>
        </is>
      </c>
      <c r="F22" s="3" t="inlineStr">
        <is>
          <t>Not tested</t>
        </is>
      </c>
      <c r="G22" s="3" t="inlineStr"/>
      <c r="H22" s="3" t="inlineStr"/>
      <c r="I22" s="3" t="inlineStr"/>
    </row>
    <row r="23">
      <c r="A23" s="3" t="inlineStr">
        <is>
          <t>H31</t>
        </is>
      </c>
      <c r="B23" s="3" t="inlineStr">
        <is>
          <t>Roster</t>
        </is>
      </c>
      <c r="C23" s="3" t="inlineStr">
        <is>
          <t>Laptop (manager)</t>
        </is>
      </c>
      <c r="D23" s="3" t="inlineStr">
        <is>
          <t>Plan Cal 10 hours on Tuesday; then an overlapping shift on Monday</t>
        </is>
      </c>
      <c r="E23" s="3" t="inlineStr">
        <is>
          <t>Saved with an overtime warning; the overlap is refused</t>
        </is>
      </c>
      <c r="F23" s="3" t="inlineStr">
        <is>
          <t>Not tested</t>
        </is>
      </c>
      <c r="G23" s="3" t="inlineStr"/>
      <c r="H23" s="3" t="inlineStr"/>
      <c r="I23" s="3" t="inlineStr"/>
    </row>
    <row r="24">
      <c r="A24" s="3" t="inlineStr">
        <is>
          <t>H32</t>
        </is>
      </c>
      <c r="B24" s="3" t="inlineStr">
        <is>
          <t>Roster</t>
        </is>
      </c>
      <c r="C24" s="3" t="inlineStr">
        <is>
          <t>Phone (Cal)</t>
        </is>
      </c>
      <c r="D24" s="3" t="inlineStr">
        <is>
          <t>Home → Roster → next week before publishing</t>
        </is>
      </c>
      <c r="E24" s="3" t="inlineStr">
        <is>
          <t>Cal's drafts are not shown</t>
        </is>
      </c>
      <c r="F24" s="3" t="inlineStr">
        <is>
          <t>Not tested</t>
        </is>
      </c>
      <c r="G24" s="3" t="inlineStr"/>
      <c r="H24" s="3" t="inlineStr"/>
      <c r="I24" s="3" t="inlineStr"/>
    </row>
    <row r="25">
      <c r="A25" s="3" t="inlineStr">
        <is>
          <t>H33</t>
        </is>
      </c>
      <c r="B25" s="3" t="inlineStr">
        <is>
          <t>Roster</t>
        </is>
      </c>
      <c r="C25" s="3" t="inlineStr">
        <is>
          <t>Laptop (manager)</t>
        </is>
      </c>
      <c r="D25" s="3" t="inlineStr">
        <is>
          <t>Publish</t>
        </is>
      </c>
      <c r="E25" s="3" t="inlineStr">
        <is>
          <t>'Published; n people told'; Cal's inbox: Your schedule for the week …</t>
        </is>
      </c>
      <c r="F25" s="3" t="inlineStr">
        <is>
          <t>Not tested</t>
        </is>
      </c>
      <c r="G25" s="3" t="inlineStr"/>
      <c r="H25" s="3" t="inlineStr"/>
      <c r="I25" s="3" t="inlineStr"/>
    </row>
    <row r="26">
      <c r="A26" s="3" t="inlineStr">
        <is>
          <t>H34</t>
        </is>
      </c>
      <c r="B26" s="3" t="inlineStr">
        <is>
          <t>Roster</t>
        </is>
      </c>
      <c r="C26" s="3" t="inlineStr">
        <is>
          <t>Laptop (manager)</t>
        </is>
      </c>
      <c r="D26" s="3" t="inlineStr">
        <is>
          <t>Labour against sales table</t>
        </is>
      </c>
      <c r="E26" s="3" t="inlineStr">
        <is>
          <t>Planned hours, labour $ (no per-person pay), sales marked 'last week' for future days, labour %</t>
        </is>
      </c>
      <c r="F26" s="3" t="inlineStr">
        <is>
          <t>Not tested</t>
        </is>
      </c>
      <c r="G26" s="3" t="inlineStr"/>
      <c r="H26" s="3" t="inlineStr"/>
      <c r="I26" s="3" t="inlineStr"/>
    </row>
    <row r="27">
      <c r="A27" s="3" t="inlineStr">
        <is>
          <t>H35</t>
        </is>
      </c>
      <c r="B27" s="3" t="inlineStr">
        <is>
          <t>Swaps</t>
        </is>
      </c>
      <c r="C27" s="3" t="inlineStr">
        <is>
          <t>Phone (Cal)</t>
        </is>
      </c>
      <c r="D27" s="3" t="inlineStr">
        <is>
          <t>My shifts → Offer to swap → Sam</t>
        </is>
      </c>
      <c r="E27" s="3" t="inlineStr">
        <is>
          <t>Shown as offered; Sam's inbox has the offer</t>
        </is>
      </c>
      <c r="F27" s="3" t="inlineStr">
        <is>
          <t>Not tested</t>
        </is>
      </c>
      <c r="G27" s="3" t="inlineStr"/>
      <c r="H27" s="3" t="inlineStr"/>
      <c r="I27" s="3" t="inlineStr"/>
    </row>
    <row r="28">
      <c r="A28" s="3" t="inlineStr">
        <is>
          <t>H36</t>
        </is>
      </c>
      <c r="B28" s="3" t="inlineStr">
        <is>
          <t>Swaps</t>
        </is>
      </c>
      <c r="C28" s="3" t="inlineStr">
        <is>
          <t>Phone (Sam)</t>
        </is>
      </c>
      <c r="D28" s="3" t="inlineStr">
        <is>
          <t>Roster → Swaps → Take it</t>
        </is>
      </c>
      <c r="E28" s="3" t="inlineStr">
        <is>
          <t>'Taken; a manager approves it'</t>
        </is>
      </c>
      <c r="F28" s="3" t="inlineStr">
        <is>
          <t>Not tested</t>
        </is>
      </c>
      <c r="G28" s="3" t="inlineStr"/>
      <c r="H28" s="3" t="inlineStr"/>
      <c r="I28" s="3" t="inlineStr"/>
    </row>
    <row r="29">
      <c r="A29" s="3" t="inlineStr">
        <is>
          <t>H37</t>
        </is>
      </c>
      <c r="B29" s="3" t="inlineStr">
        <is>
          <t>Swaps</t>
        </is>
      </c>
      <c r="C29" s="3" t="inlineStr">
        <is>
          <t>Laptop (manager)</t>
        </is>
      </c>
      <c r="D29" s="3" t="inlineStr">
        <is>
          <t>Approve</t>
        </is>
      </c>
      <c r="E29" s="3" t="inlineStr">
        <is>
          <t>The shift moves to Sam in the grid; both are told</t>
        </is>
      </c>
      <c r="F29" s="3" t="inlineStr">
        <is>
          <t>Not tested</t>
        </is>
      </c>
      <c r="G29" s="3" t="inlineStr"/>
      <c r="H29" s="3" t="inlineStr"/>
      <c r="I29" s="3" t="inlineStr"/>
    </row>
    <row r="30">
      <c r="A30" s="3" t="inlineStr">
        <is>
          <t>H38</t>
        </is>
      </c>
      <c r="B30" s="3" t="inlineStr">
        <is>
          <t>Roster</t>
        </is>
      </c>
      <c r="C30" s="3" t="inlineStr">
        <is>
          <t>Laptop (manager)</t>
        </is>
      </c>
      <c r="D30" s="3" t="inlineStr">
        <is>
          <t>The week after → Copy last week</t>
        </is>
      </c>
      <c r="E30" s="3" t="inlineStr">
        <is>
          <t>Copied as drafts; copying again skips them</t>
        </is>
      </c>
      <c r="F30" s="3" t="inlineStr">
        <is>
          <t>Not tested</t>
        </is>
      </c>
      <c r="G30" s="3" t="inlineStr"/>
      <c r="H30" s="3" t="inlineStr"/>
      <c r="I30" s="3" t="inlineStr"/>
    </row>
    <row r="31">
      <c r="A31" s="3" t="inlineStr">
        <is>
          <t>H39</t>
        </is>
      </c>
      <c r="B31" s="3" t="inlineStr">
        <is>
          <t>Roster</t>
        </is>
      </c>
      <c r="C31" s="3" t="inlineStr">
        <is>
          <t>Laptop (manager)</t>
        </is>
      </c>
      <c r="D31" s="3" t="inlineStr">
        <is>
          <t>Remove a published shift</t>
        </is>
      </c>
      <c r="E31" s="3" t="inlineStr">
        <is>
          <t>Gone from the grid; the person is told</t>
        </is>
      </c>
      <c r="F31" s="3" t="inlineStr">
        <is>
          <t>Not tested</t>
        </is>
      </c>
      <c r="G31" s="3" t="inlineStr"/>
      <c r="H31" s="3" t="inlineStr"/>
      <c r="I31" s="3" t="inlineStr"/>
    </row>
    <row r="32">
      <c r="A32" s="3" t="inlineStr">
        <is>
          <t>H40</t>
        </is>
      </c>
      <c r="B32" s="3" t="inlineStr">
        <is>
          <t>Time sheets</t>
        </is>
      </c>
      <c r="C32" s="3" t="inlineStr">
        <is>
          <t>Laptop (manager)</t>
        </is>
      </c>
      <c r="D32" s="3" t="inlineStr">
        <is>
          <t>Home → Time sheets: the last pay period (←)</t>
        </is>
      </c>
      <c r="E32" s="3" t="inlineStr">
        <is>
          <t>Each person with paid hours, overtime, status 'To approve' and how many things are flagged</t>
        </is>
      </c>
      <c r="F32" s="3" t="inlineStr">
        <is>
          <t>Not tested</t>
        </is>
      </c>
      <c r="G32" s="3" t="inlineStr"/>
      <c r="H32" s="3" t="inlineStr"/>
      <c r="I32" s="3" t="inlineStr"/>
    </row>
    <row r="33">
      <c r="A33" s="3" t="inlineStr">
        <is>
          <t>H41</t>
        </is>
      </c>
      <c r="B33" s="3" t="inlineStr">
        <is>
          <t>Time sheets</t>
        </is>
      </c>
      <c r="C33" s="3" t="inlineStr">
        <is>
          <t>Laptop (manager)</t>
        </is>
      </c>
      <c r="D33" s="3" t="inlineStr">
        <is>
          <t>Open Cal's: shifts with flags (late, no meal break, not on the roster, no-show)</t>
        </is>
      </c>
      <c r="E33" s="3" t="inlineStr">
        <is>
          <t>Flags shown on the shifts and days</t>
        </is>
      </c>
      <c r="F33" s="3" t="inlineStr">
        <is>
          <t>Not tested</t>
        </is>
      </c>
      <c r="G33" s="3" t="inlineStr"/>
      <c r="H33" s="3" t="inlineStr"/>
      <c r="I33" s="3" t="inlineStr"/>
    </row>
    <row r="34">
      <c r="A34" s="3" t="inlineStr">
        <is>
          <t>H42</t>
        </is>
      </c>
      <c r="B34" s="3" t="inlineStr">
        <is>
          <t>Time sheets</t>
        </is>
      </c>
      <c r="C34" s="3" t="inlineStr">
        <is>
          <t>Laptop (manager)</t>
        </is>
      </c>
      <c r="D34" s="3" t="inlineStr">
        <is>
          <t>Approve with a shift still clocked in</t>
        </is>
      </c>
      <c r="E34" s="3" t="inlineStr">
        <is>
          <t>Refused: fix it first</t>
        </is>
      </c>
      <c r="F34" s="3" t="inlineStr">
        <is>
          <t>Not tested</t>
        </is>
      </c>
      <c r="G34" s="3" t="inlineStr"/>
      <c r="H34" s="3" t="inlineStr"/>
      <c r="I34" s="3" t="inlineStr"/>
    </row>
    <row r="35">
      <c r="A35" s="3" t="inlineStr">
        <is>
          <t>H43</t>
        </is>
      </c>
      <c r="B35" s="3" t="inlineStr">
        <is>
          <t>Time sheets</t>
        </is>
      </c>
      <c r="C35" s="3" t="inlineStr">
        <is>
          <t>Laptop (manager)</t>
        </is>
      </c>
      <c r="D35" s="3" t="inlineStr">
        <is>
          <t>Approve a flagged sheet without a note, then with one</t>
        </is>
      </c>
      <c r="E35" s="3" t="inlineStr">
        <is>
          <t>Refused without; 'Approved' with your name</t>
        </is>
      </c>
      <c r="F35" s="3" t="inlineStr">
        <is>
          <t>Not tested</t>
        </is>
      </c>
      <c r="G35" s="3" t="inlineStr"/>
      <c r="H35" s="3" t="inlineStr"/>
      <c r="I35" s="3" t="inlineStr"/>
    </row>
    <row r="36">
      <c r="A36" s="3" t="inlineStr">
        <is>
          <t>H44</t>
        </is>
      </c>
      <c r="B36" s="3" t="inlineStr">
        <is>
          <t>Time sheets</t>
        </is>
      </c>
      <c r="C36" s="3" t="inlineStr">
        <is>
          <t>Laptop (manager)</t>
        </is>
      </c>
      <c r="D36" s="3" t="inlineStr">
        <is>
          <t>Time clock → Shifts → fix a shift in that approved period</t>
        </is>
      </c>
      <c r="E36" s="3" t="inlineStr">
        <is>
          <t>Refused: reopen it first</t>
        </is>
      </c>
      <c r="F36" s="3" t="inlineStr">
        <is>
          <t>Not tested</t>
        </is>
      </c>
      <c r="G36" s="3" t="inlineStr"/>
      <c r="H36" s="3" t="inlineStr"/>
      <c r="I36" s="3" t="inlineStr"/>
    </row>
    <row r="37">
      <c r="A37" s="3" t="inlineStr">
        <is>
          <t>H45</t>
        </is>
      </c>
      <c r="B37" s="3" t="inlineStr">
        <is>
          <t>Time sheets</t>
        </is>
      </c>
      <c r="C37" s="3" t="inlineStr">
        <is>
          <t>Laptop (manager)</t>
        </is>
      </c>
      <c r="D37" s="3" t="inlineStr">
        <is>
          <t>Reopen it with a reason; fix; approve again</t>
        </is>
      </c>
      <c r="E37" s="3" t="inlineStr">
        <is>
          <t>Reopened; the fix is saved; approved with the new hours</t>
        </is>
      </c>
      <c r="F37" s="3" t="inlineStr">
        <is>
          <t>Not tested</t>
        </is>
      </c>
      <c r="G37" s="3" t="inlineStr"/>
      <c r="H37" s="3" t="inlineStr"/>
      <c r="I37" s="3" t="inlineStr"/>
    </row>
    <row r="38">
      <c r="A38" s="3" t="inlineStr">
        <is>
          <t>H46</t>
        </is>
      </c>
      <c r="B38" s="3" t="inlineStr">
        <is>
          <t>Time sheets</t>
        </is>
      </c>
      <c r="C38" s="3" t="inlineStr">
        <is>
          <t>Phone (Cal)</t>
        </is>
      </c>
      <c r="D38" s="3" t="inlineStr">
        <is>
          <t>Home → Time sheets</t>
        </is>
      </c>
      <c r="E38" s="3" t="inlineStr">
        <is>
          <t>Only Cal's own sheet for the period, with status</t>
        </is>
      </c>
      <c r="F38" s="3" t="inlineStr">
        <is>
          <t>Not tested</t>
        </is>
      </c>
      <c r="G38" s="3" t="inlineStr"/>
      <c r="H38" s="3" t="inlineStr"/>
      <c r="I38" s="3" t="inlineStr"/>
    </row>
    <row r="39">
      <c r="A39" s="3" t="inlineStr">
        <is>
          <t>H47</t>
        </is>
      </c>
      <c r="B39" s="3" t="inlineStr">
        <is>
          <t>Time sheets</t>
        </is>
      </c>
      <c r="C39" s="3" t="inlineStr">
        <is>
          <t>Laptop (manager)</t>
        </is>
      </c>
      <c r="D39" s="3" t="inlineStr">
        <is>
          <t>Approve your own time sheet</t>
        </is>
      </c>
      <c r="E39" s="3" t="inlineStr">
        <is>
          <t>Refused: someone else approves it</t>
        </is>
      </c>
      <c r="F39" s="3" t="inlineStr">
        <is>
          <t>Not tested</t>
        </is>
      </c>
      <c r="G39" s="3" t="inlineStr"/>
      <c r="H39" s="3" t="inlineStr"/>
      <c r="I39" s="3" t="inlineStr"/>
    </row>
  </sheetData>
  <autoFilter ref="A1:I39"/>
  <conditionalFormatting sqref="F2:F39">
    <cfRule type="cellIs" priority="1" operator="equal" dxfId="0">
      <formula>"Pass"</formula>
    </cfRule>
    <cfRule type="cellIs" priority="2" operator="equal" dxfId="1">
      <formula>"Fail"</formula>
    </cfRule>
    <cfRule type="cellIs" priority="3" operator="equal" dxfId="2">
      <formula>"Blocked"</formula>
    </cfRule>
    <cfRule type="cellIs" priority="4" operator="equal" dxfId="3">
      <formula>"Not tested"</formula>
    </cfRule>
  </conditionalFormatting>
  <dataValidations count="1">
    <dataValidation sqref="F2:F39" showDropDown="0" showInputMessage="0" showErrorMessage="0" allowBlank="1" type="list">
      <formula1>"Pass,Fail,Blocked,Not tested"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0"/>
  <sheetViews>
    <sheetView workbookViewId="0">
      <selection activeCell="A1" sqref="A1"/>
    </sheetView>
  </sheetViews>
  <sheetFormatPr baseColWidth="8" defaultRowHeight="15"/>
  <cols>
    <col width="24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</cols>
  <sheetData>
    <row r="1">
      <c r="A1" s="4" t="inlineStr">
        <is>
          <t>Area</t>
        </is>
      </c>
      <c r="B1" s="4" t="inlineStr">
        <is>
          <t>Checks</t>
        </is>
      </c>
      <c r="C1" s="4" t="inlineStr">
        <is>
          <t>Pass</t>
        </is>
      </c>
      <c r="D1" s="4" t="inlineStr">
        <is>
          <t>Fail</t>
        </is>
      </c>
      <c r="E1" s="4" t="inlineStr">
        <is>
          <t>Blocked</t>
        </is>
      </c>
      <c r="F1" s="4" t="inlineStr">
        <is>
          <t>Not tested</t>
        </is>
      </c>
    </row>
    <row r="2">
      <c r="A2" t="inlineStr">
        <is>
          <t>People</t>
        </is>
      </c>
      <c r="B2">
        <f>COUNTIF(Tests!B:B,A2)</f>
        <v/>
      </c>
      <c r="C2">
        <f>COUNTIFS(Tests!B:B,A2,Tests!F:F,"Pass")</f>
        <v/>
      </c>
      <c r="D2">
        <f>COUNTIFS(Tests!B:B,A2,Tests!F:F,"Fail")</f>
        <v/>
      </c>
      <c r="E2">
        <f>COUNTIFS(Tests!B:B,A2,Tests!F:F,"Blocked")</f>
        <v/>
      </c>
      <c r="F2">
        <f>COUNTIFS(Tests!B:B,A2,Tests!F:F,"Not tested")</f>
        <v/>
      </c>
    </row>
    <row r="3">
      <c r="A3" t="inlineStr">
        <is>
          <t>Leave</t>
        </is>
      </c>
      <c r="B3">
        <f>COUNTIF(Tests!B:B,A3)</f>
        <v/>
      </c>
      <c r="C3">
        <f>COUNTIFS(Tests!B:B,A3,Tests!F:F,"Pass")</f>
        <v/>
      </c>
      <c r="D3">
        <f>COUNTIFS(Tests!B:B,A3,Tests!F:F,"Fail")</f>
        <v/>
      </c>
      <c r="E3">
        <f>COUNTIFS(Tests!B:B,A3,Tests!F:F,"Blocked")</f>
        <v/>
      </c>
      <c r="F3">
        <f>COUNTIFS(Tests!B:B,A3,Tests!F:F,"Not tested")</f>
        <v/>
      </c>
    </row>
    <row r="4">
      <c r="A4" t="inlineStr">
        <is>
          <t>Time clock</t>
        </is>
      </c>
      <c r="B4">
        <f>COUNTIF(Tests!B:B,A4)</f>
        <v/>
      </c>
      <c r="C4">
        <f>COUNTIFS(Tests!B:B,A4,Tests!F:F,"Pass")</f>
        <v/>
      </c>
      <c r="D4">
        <f>COUNTIFS(Tests!B:B,A4,Tests!F:F,"Fail")</f>
        <v/>
      </c>
      <c r="E4">
        <f>COUNTIFS(Tests!B:B,A4,Tests!F:F,"Blocked")</f>
        <v/>
      </c>
      <c r="F4">
        <f>COUNTIFS(Tests!B:B,A4,Tests!F:F,"Not tested")</f>
        <v/>
      </c>
    </row>
    <row r="5">
      <c r="A5" t="inlineStr">
        <is>
          <t>Alerts</t>
        </is>
      </c>
      <c r="B5">
        <f>COUNTIF(Tests!B:B,A5)</f>
        <v/>
      </c>
      <c r="C5">
        <f>COUNTIFS(Tests!B:B,A5,Tests!F:F,"Pass")</f>
        <v/>
      </c>
      <c r="D5">
        <f>COUNTIFS(Tests!B:B,A5,Tests!F:F,"Fail")</f>
        <v/>
      </c>
      <c r="E5">
        <f>COUNTIFS(Tests!B:B,A5,Tests!F:F,"Blocked")</f>
        <v/>
      </c>
      <c r="F5">
        <f>COUNTIFS(Tests!B:B,A5,Tests!F:F,"Not tested")</f>
        <v/>
      </c>
    </row>
    <row r="6">
      <c r="A6" t="inlineStr">
        <is>
          <t>Shifts</t>
        </is>
      </c>
      <c r="B6">
        <f>COUNTIF(Tests!B:B,A6)</f>
        <v/>
      </c>
      <c r="C6">
        <f>COUNTIFS(Tests!B:B,A6,Tests!F:F,"Pass")</f>
        <v/>
      </c>
      <c r="D6">
        <f>COUNTIFS(Tests!B:B,A6,Tests!F:F,"Fail")</f>
        <v/>
      </c>
      <c r="E6">
        <f>COUNTIFS(Tests!B:B,A6,Tests!F:F,"Blocked")</f>
        <v/>
      </c>
      <c r="F6">
        <f>COUNTIFS(Tests!B:B,A6,Tests!F:F,"Not tested")</f>
        <v/>
      </c>
    </row>
    <row r="7">
      <c r="A7" t="inlineStr">
        <is>
          <t>Roster</t>
        </is>
      </c>
      <c r="B7">
        <f>COUNTIF(Tests!B:B,A7)</f>
        <v/>
      </c>
      <c r="C7">
        <f>COUNTIFS(Tests!B:B,A7,Tests!F:F,"Pass")</f>
        <v/>
      </c>
      <c r="D7">
        <f>COUNTIFS(Tests!B:B,A7,Tests!F:F,"Fail")</f>
        <v/>
      </c>
      <c r="E7">
        <f>COUNTIFS(Tests!B:B,A7,Tests!F:F,"Blocked")</f>
        <v/>
      </c>
      <c r="F7">
        <f>COUNTIFS(Tests!B:B,A7,Tests!F:F,"Not tested")</f>
        <v/>
      </c>
    </row>
    <row r="8">
      <c r="A8" t="inlineStr">
        <is>
          <t>Swaps</t>
        </is>
      </c>
      <c r="B8">
        <f>COUNTIF(Tests!B:B,A8)</f>
        <v/>
      </c>
      <c r="C8">
        <f>COUNTIFS(Tests!B:B,A8,Tests!F:F,"Pass")</f>
        <v/>
      </c>
      <c r="D8">
        <f>COUNTIFS(Tests!B:B,A8,Tests!F:F,"Fail")</f>
        <v/>
      </c>
      <c r="E8">
        <f>COUNTIFS(Tests!B:B,A8,Tests!F:F,"Blocked")</f>
        <v/>
      </c>
      <c r="F8">
        <f>COUNTIFS(Tests!B:B,A8,Tests!F:F,"Not tested")</f>
        <v/>
      </c>
    </row>
    <row r="9">
      <c r="A9" t="inlineStr">
        <is>
          <t>Time sheets</t>
        </is>
      </c>
      <c r="B9">
        <f>COUNTIF(Tests!B:B,A9)</f>
        <v/>
      </c>
      <c r="C9">
        <f>COUNTIFS(Tests!B:B,A9,Tests!F:F,"Pass")</f>
        <v/>
      </c>
      <c r="D9">
        <f>COUNTIFS(Tests!B:B,A9,Tests!F:F,"Fail")</f>
        <v/>
      </c>
      <c r="E9">
        <f>COUNTIFS(Tests!B:B,A9,Tests!F:F,"Blocked")</f>
        <v/>
      </c>
      <c r="F9">
        <f>COUNTIFS(Tests!B:B,A9,Tests!F:F,"Not tested")</f>
        <v/>
      </c>
    </row>
    <row r="10">
      <c r="A10" s="5" t="inlineStr">
        <is>
          <t>All</t>
        </is>
      </c>
      <c r="B10" s="5">
        <f>SUM(B2:B9)</f>
        <v/>
      </c>
      <c r="C10" s="5">
        <f>SUM(C2:C9)</f>
        <v/>
      </c>
      <c r="D10" s="5">
        <f>SUM(D2:D9)</f>
        <v/>
      </c>
      <c r="E10" s="5">
        <f>SUM(E2:E9)</f>
        <v/>
      </c>
      <c r="F10" s="5">
        <f>SUM(F2:F9)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2026-10-10T18:23:50Z</dcterms:created>
  <dcterms:modified xsi:type="dcterms:W3CDTF">2026-10-10T18:23:50Z</dcterms:modified>
</cp:coreProperties>
</file>