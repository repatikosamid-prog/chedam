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Before you start" sheetId="1" state="visible" r:id="rId1"/>
    <sheet name="Tests" sheetId="2" state="visible" r:id="rId2"/>
    <sheet name="Summary" sheetId="3" state="visible" r:id="rId3"/>
  </sheets>
  <definedNames>
    <definedName name="_xlnm._FilterDatabase" localSheetId="1" hidden="1">'Tests'!$A$1:$I$83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3"/>
    </font>
  </fonts>
  <fills count="3">
    <fill>
      <patternFill/>
    </fill>
    <fill>
      <patternFill patternType="gray125"/>
    </fill>
    <fill>
      <patternFill patternType="solid">
        <fgColor rgb="001F6F43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3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1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Chedam manual tests: P4 People and money (grows with each build step; tested in the P2-P4 test week)</t>
        </is>
      </c>
    </row>
    <row r="2">
      <c r="A2" t="inlineStr"/>
    </row>
    <row r="3">
      <c r="A3" t="inlineStr">
        <is>
          <t>Laptop and iPhone; Android later. Sample people: Demo Owner, Mira Manager, Ana Accountant, Cal Cashier, Sam Staff.</t>
        </is>
      </c>
    </row>
    <row r="4">
      <c r="A4" t="inlineStr">
        <is>
          <t>For each row: do what it says, compare with 'What should happen', choose Pass / Fail / Blocked, and write what happened when it is not a Pass.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22" customWidth="1" min="3" max="3"/>
    <col width="60" customWidth="1" min="4" max="4"/>
    <col width="60" customWidth="1" min="5" max="5"/>
    <col width="13" customWidth="1" min="6" max="6"/>
    <col width="45" customWidth="1" min="7" max="7"/>
    <col width="12" customWidth="1" min="8" max="8"/>
    <col width="12" customWidth="1" min="9" max="9"/>
  </cols>
  <sheetData>
    <row r="1">
      <c r="A1" s="2" t="inlineStr">
        <is>
          <t>ID</t>
        </is>
      </c>
      <c r="B1" s="2" t="inlineStr">
        <is>
          <t>Area</t>
        </is>
      </c>
      <c r="C1" s="2" t="inlineStr">
        <is>
          <t>Device / needs</t>
        </is>
      </c>
      <c r="D1" s="2" t="inlineStr">
        <is>
          <t>What to do</t>
        </is>
      </c>
      <c r="E1" s="2" t="inlineStr">
        <is>
          <t>What should happen</t>
        </is>
      </c>
      <c r="F1" s="2" t="inlineStr">
        <is>
          <t>Result</t>
        </is>
      </c>
      <c r="G1" s="2" t="inlineStr">
        <is>
          <t>Notes (what happened)</t>
        </is>
      </c>
      <c r="H1" s="2" t="inlineStr">
        <is>
          <t>Tester</t>
        </is>
      </c>
      <c r="I1" s="2" t="inlineStr">
        <is>
          <t>Date</t>
        </is>
      </c>
    </row>
    <row r="2">
      <c r="A2" s="3" t="inlineStr">
        <is>
          <t>H01</t>
        </is>
      </c>
      <c r="B2" s="3" t="inlineStr">
        <is>
          <t>People</t>
        </is>
      </c>
      <c r="C2" s="3" t="inlineStr">
        <is>
          <t>Laptop (owner)</t>
        </is>
      </c>
      <c r="D2" s="3" t="inlineStr">
        <is>
          <t>Home → People → Add a record: Cal Cashier, legal name, hourly $17.85, SIN 046 454 286, bank 001-12345-1234567</t>
        </is>
      </c>
      <c r="E2" s="3" t="inlineStr">
        <is>
          <t>Saved; SIN shown as •••-•••-286, account as ••••567</t>
        </is>
      </c>
      <c r="F2" s="3" t="inlineStr">
        <is>
          <t>Not tested</t>
        </is>
      </c>
      <c r="G2" s="3" t="inlineStr"/>
      <c r="H2" s="3" t="inlineStr"/>
      <c r="I2" s="3" t="inlineStr"/>
    </row>
    <row r="3">
      <c r="A3" s="3" t="inlineStr">
        <is>
          <t>H02</t>
        </is>
      </c>
      <c r="B3" s="3" t="inlineStr">
        <is>
          <t>People</t>
        </is>
      </c>
      <c r="C3" s="3" t="inlineStr">
        <is>
          <t>Laptop (owner)</t>
        </is>
      </c>
      <c r="D3" s="3" t="inlineStr">
        <is>
          <t>Try a SIN 123 456 789</t>
        </is>
      </c>
      <c r="E3" s="3" t="inlineStr">
        <is>
          <t>Refused: the SIN is not valid</t>
        </is>
      </c>
      <c r="F3" s="3" t="inlineStr">
        <is>
          <t>Not tested</t>
        </is>
      </c>
      <c r="G3" s="3" t="inlineStr"/>
      <c r="H3" s="3" t="inlineStr"/>
      <c r="I3" s="3" t="inlineStr"/>
    </row>
    <row r="4">
      <c r="A4" s="3" t="inlineStr">
        <is>
          <t>H03</t>
        </is>
      </c>
      <c r="B4" s="3" t="inlineStr">
        <is>
          <t>People</t>
        </is>
      </c>
      <c r="C4" s="3" t="inlineStr">
        <is>
          <t>Laptop (owner)</t>
        </is>
      </c>
      <c r="D4" s="3" t="inlineStr">
        <is>
          <t>Open Cal → SIN → Show</t>
        </is>
      </c>
      <c r="E4" s="3" t="inlineStr">
        <is>
          <t>Asks first; shows 046-454-286</t>
        </is>
      </c>
      <c r="F4" s="3" t="inlineStr">
        <is>
          <t>Not tested</t>
        </is>
      </c>
      <c r="G4" s="3" t="inlineStr"/>
      <c r="H4" s="3" t="inlineStr"/>
      <c r="I4" s="3" t="inlineStr"/>
    </row>
    <row r="5">
      <c r="A5" s="3" t="inlineStr">
        <is>
          <t>H04</t>
        </is>
      </c>
      <c r="B5" s="3" t="inlineStr">
        <is>
          <t>People</t>
        </is>
      </c>
      <c r="C5" s="3" t="inlineStr">
        <is>
          <t>Laptop (manager)</t>
        </is>
      </c>
      <c r="D5" s="3" t="inlineStr">
        <is>
          <t>Home → People → open Cal</t>
        </is>
      </c>
      <c r="E5" s="3" t="inlineStr">
        <is>
          <t>Record and emergency contact; no pay, bank, SIN digits or personal phone</t>
        </is>
      </c>
      <c r="F5" s="3" t="inlineStr">
        <is>
          <t>Not tested</t>
        </is>
      </c>
      <c r="G5" s="3" t="inlineStr"/>
      <c r="H5" s="3" t="inlineStr"/>
      <c r="I5" s="3" t="inlineStr"/>
    </row>
    <row r="6">
      <c r="A6" s="3" t="inlineStr">
        <is>
          <t>H05</t>
        </is>
      </c>
      <c r="B6" s="3" t="inlineStr">
        <is>
          <t>People</t>
        </is>
      </c>
      <c r="C6" s="3" t="inlineStr">
        <is>
          <t>Phone (Cal)</t>
        </is>
      </c>
      <c r="D6" s="3" t="inlineStr">
        <is>
          <t>Home → People → Me</t>
        </is>
      </c>
      <c r="E6" s="3" t="inlineStr">
        <is>
          <t>Own record, address and phone, leave balances; no pay or bank; no Staff tab</t>
        </is>
      </c>
      <c r="F6" s="3" t="inlineStr">
        <is>
          <t>Not tested</t>
        </is>
      </c>
      <c r="G6" s="3" t="inlineStr"/>
      <c r="H6" s="3" t="inlineStr"/>
      <c r="I6" s="3" t="inlineStr"/>
    </row>
    <row r="7">
      <c r="A7" s="3" t="inlineStr">
        <is>
          <t>H06</t>
        </is>
      </c>
      <c r="B7" s="3" t="inlineStr">
        <is>
          <t>Leave</t>
        </is>
      </c>
      <c r="C7" s="3" t="inlineStr">
        <is>
          <t>Laptop (manager)</t>
        </is>
      </c>
      <c r="D7" s="3" t="inlineStr">
        <is>
          <t>Open a salaried person → Record leave taken: sick 8 h</t>
        </is>
      </c>
      <c r="E7" s="3" t="inlineStr">
        <is>
          <t>Sick balance down 8 h; in the history with your name</t>
        </is>
      </c>
      <c r="F7" s="3" t="inlineStr">
        <is>
          <t>Not tested</t>
        </is>
      </c>
      <c r="G7" s="3" t="inlineStr"/>
      <c r="H7" s="3" t="inlineStr"/>
      <c r="I7" s="3" t="inlineStr"/>
    </row>
    <row r="8">
      <c r="A8" s="3" t="inlineStr">
        <is>
          <t>H07</t>
        </is>
      </c>
      <c r="B8" s="3" t="inlineStr">
        <is>
          <t>Leave</t>
        </is>
      </c>
      <c r="C8" s="3" t="inlineStr">
        <is>
          <t>Laptop (manager)</t>
        </is>
      </c>
      <c r="D8" s="3" t="inlineStr">
        <is>
          <t>Record more vacation than is left</t>
        </is>
      </c>
      <c r="E8" s="3" t="inlineStr">
        <is>
          <t>Refused: only … hours left</t>
        </is>
      </c>
      <c r="F8" s="3" t="inlineStr">
        <is>
          <t>Not tested</t>
        </is>
      </c>
      <c r="G8" s="3" t="inlineStr"/>
      <c r="H8" s="3" t="inlineStr"/>
      <c r="I8" s="3" t="inlineStr"/>
    </row>
    <row r="9">
      <c r="A9" s="3" t="inlineStr">
        <is>
          <t>H08</t>
        </is>
      </c>
      <c r="B9" s="3" t="inlineStr">
        <is>
          <t>Leave</t>
        </is>
      </c>
      <c r="C9" s="3" t="inlineStr">
        <is>
          <t>Laptop (owner)</t>
        </is>
      </c>
      <c r="D9" s="3" t="inlineStr">
        <is>
          <t>Adjust a balance: vacation +16 h without a reason, then with one</t>
        </is>
      </c>
      <c r="E9" s="3" t="inlineStr">
        <is>
          <t>Refused without; added with the reason in the history</t>
        </is>
      </c>
      <c r="F9" s="3" t="inlineStr">
        <is>
          <t>Not tested</t>
        </is>
      </c>
      <c r="G9" s="3" t="inlineStr"/>
      <c r="H9" s="3" t="inlineStr"/>
      <c r="I9" s="3" t="inlineStr"/>
    </row>
    <row r="10">
      <c r="A10" s="3" t="inlineStr">
        <is>
          <t>H09</t>
        </is>
      </c>
      <c r="B10" s="3" t="inlineStr">
        <is>
          <t>People</t>
        </is>
      </c>
      <c r="C10" s="3" t="inlineStr">
        <is>
          <t>Laptop (owner)</t>
        </is>
      </c>
      <c r="D10" s="3" t="inlineStr">
        <is>
          <t>Change the record: add a PDF contract</t>
        </is>
      </c>
      <c r="E10" s="3" t="inlineStr">
        <is>
          <t>The document is listed and opens</t>
        </is>
      </c>
      <c r="F10" s="3" t="inlineStr">
        <is>
          <t>Not tested</t>
        </is>
      </c>
      <c r="G10" s="3" t="inlineStr"/>
      <c r="H10" s="3" t="inlineStr"/>
      <c r="I10" s="3" t="inlineStr"/>
    </row>
    <row r="11">
      <c r="A11" s="3" t="inlineStr">
        <is>
          <t>H10</t>
        </is>
      </c>
      <c r="B11" s="3" t="inlineStr">
        <is>
          <t>People</t>
        </is>
      </c>
      <c r="C11" s="3" t="inlineStr">
        <is>
          <t>Laptop (owner)</t>
        </is>
      </c>
      <c r="D11" s="3" t="inlineStr">
        <is>
          <t>Export the staff list (CSV); open Settings → Export data</t>
        </is>
      </c>
      <c r="E11" s="3" t="inlineStr">
        <is>
          <t>The list has no pay, SIN or bank columns; the data export has no SIN or bank fields</t>
        </is>
      </c>
      <c r="F11" s="3" t="inlineStr">
        <is>
          <t>Not tested</t>
        </is>
      </c>
      <c r="G11" s="3" t="inlineStr"/>
      <c r="H11" s="3" t="inlineStr"/>
      <c r="I11" s="3" t="inlineStr"/>
    </row>
    <row r="12">
      <c r="A12" s="3" t="inlineStr">
        <is>
          <t>H20</t>
        </is>
      </c>
      <c r="B12" s="3" t="inlineStr">
        <is>
          <t>Time clock</t>
        </is>
      </c>
      <c r="C12" s="3" t="inlineStr">
        <is>
          <t>Phone (Cal)</t>
        </is>
      </c>
      <c r="D12" s="3" t="inlineStr">
        <is>
          <t>Home → Time clock → Me → Clock in</t>
        </is>
      </c>
      <c r="E12" s="3" t="inlineStr">
        <is>
          <t>Clocked in at the hub's time; Today counts up</t>
        </is>
      </c>
      <c r="F12" s="3" t="inlineStr">
        <is>
          <t>Not tested</t>
        </is>
      </c>
      <c r="G12" s="3" t="inlineStr"/>
      <c r="H12" s="3" t="inlineStr"/>
      <c r="I12" s="3" t="inlineStr"/>
    </row>
    <row r="13">
      <c r="A13" s="3" t="inlineStr">
        <is>
          <t>H21</t>
        </is>
      </c>
      <c r="B13" s="3" t="inlineStr">
        <is>
          <t>Time clock</t>
        </is>
      </c>
      <c r="C13" s="3" t="inlineStr">
        <is>
          <t>Till (shared)</t>
        </is>
      </c>
      <c r="D13" s="3" t="inlineStr">
        <is>
          <t>Time clock → Someone else: Sam, PIN → Next → Clock in</t>
        </is>
      </c>
      <c r="E13" s="3" t="inlineStr">
        <is>
          <t>Sam clocked in; the till stays signed in as before; 'On the clock now' lists Sam</t>
        </is>
      </c>
      <c r="F13" s="3" t="inlineStr">
        <is>
          <t>Not tested</t>
        </is>
      </c>
      <c r="G13" s="3" t="inlineStr"/>
      <c r="H13" s="3" t="inlineStr"/>
      <c r="I13" s="3" t="inlineStr"/>
    </row>
    <row r="14">
      <c r="A14" s="3" t="inlineStr">
        <is>
          <t>H22</t>
        </is>
      </c>
      <c r="B14" s="3" t="inlineStr">
        <is>
          <t>Time clock</t>
        </is>
      </c>
      <c r="C14" s="3" t="inlineStr">
        <is>
          <t>Till (shared)</t>
        </is>
      </c>
      <c r="D14" s="3" t="inlineStr">
        <is>
          <t>Someone else with a wrong PIN</t>
        </is>
      </c>
      <c r="E14" s="3" t="inlineStr">
        <is>
          <t>Refused: wrong name or PIN</t>
        </is>
      </c>
      <c r="F14" s="3" t="inlineStr">
        <is>
          <t>Not tested</t>
        </is>
      </c>
      <c r="G14" s="3" t="inlineStr"/>
      <c r="H14" s="3" t="inlineStr"/>
      <c r="I14" s="3" t="inlineStr"/>
    </row>
    <row r="15">
      <c r="A15" s="3" t="inlineStr">
        <is>
          <t>H23</t>
        </is>
      </c>
      <c r="B15" s="3" t="inlineStr">
        <is>
          <t>Time clock</t>
        </is>
      </c>
      <c r="C15" s="3" t="inlineStr">
        <is>
          <t>Phone (Cal)</t>
        </is>
      </c>
      <c r="D15" s="3" t="inlineStr">
        <is>
          <t>Start a break, then Back after 30+ minutes</t>
        </is>
      </c>
      <c r="E15" s="3" t="inlineStr">
        <is>
          <t>On a break since …; back: break time shown, not paid</t>
        </is>
      </c>
      <c r="F15" s="3" t="inlineStr">
        <is>
          <t>Not tested</t>
        </is>
      </c>
      <c r="G15" s="3" t="inlineStr"/>
      <c r="H15" s="3" t="inlineStr"/>
      <c r="I15" s="3" t="inlineStr"/>
    </row>
    <row r="16">
      <c r="A16" s="3" t="inlineStr">
        <is>
          <t>H24</t>
        </is>
      </c>
      <c r="B16" s="3" t="inlineStr">
        <is>
          <t>Alerts</t>
        </is>
      </c>
      <c r="C16" s="3" t="inlineStr">
        <is>
          <t>Phone (Cal)</t>
        </is>
      </c>
      <c r="D16" s="3" t="inlineStr">
        <is>
          <t>Stay clocked in 4 h 30 without a break (or ask Claude to set meal_after_hours to 1 to try it quickly)</t>
        </is>
      </c>
      <c r="E16" s="3" t="inlineStr">
        <is>
          <t>Warning: take a meal break by …; the inbox has the alert for Cal and the managers, once</t>
        </is>
      </c>
      <c r="F16" s="3" t="inlineStr">
        <is>
          <t>Not tested</t>
        </is>
      </c>
      <c r="G16" s="3" t="inlineStr"/>
      <c r="H16" s="3" t="inlineStr"/>
      <c r="I16" s="3" t="inlineStr"/>
    </row>
    <row r="17">
      <c r="A17" s="3" t="inlineStr">
        <is>
          <t>H25</t>
        </is>
      </c>
      <c r="B17" s="3" t="inlineStr">
        <is>
          <t>Alerts</t>
        </is>
      </c>
      <c r="C17" s="3" t="inlineStr">
        <is>
          <t>Phone (Cal)</t>
        </is>
      </c>
      <c r="D17" s="3" t="inlineStr">
        <is>
          <t>Near 8 hours in a day</t>
        </is>
      </c>
      <c r="E17" s="3" t="inlineStr">
        <is>
          <t>Warning: overtime starts at …</t>
        </is>
      </c>
      <c r="F17" s="3" t="inlineStr">
        <is>
          <t>Not tested</t>
        </is>
      </c>
      <c r="G17" s="3" t="inlineStr"/>
      <c r="H17" s="3" t="inlineStr"/>
      <c r="I17" s="3" t="inlineStr"/>
    </row>
    <row r="18">
      <c r="A18" s="3" t="inlineStr">
        <is>
          <t>H26</t>
        </is>
      </c>
      <c r="B18" s="3" t="inlineStr">
        <is>
          <t>Shifts</t>
        </is>
      </c>
      <c r="C18" s="3" t="inlineStr">
        <is>
          <t>Laptop (manager)</t>
        </is>
      </c>
      <c r="D18" s="3" t="inlineStr">
        <is>
          <t>Time clock → Shifts: this week</t>
        </is>
      </c>
      <c r="E18" s="3" t="inlineStr">
        <is>
          <t>Each person with paid hours, regular, overtime; flags on shifts without a meal break</t>
        </is>
      </c>
      <c r="F18" s="3" t="inlineStr">
        <is>
          <t>Not tested</t>
        </is>
      </c>
      <c r="G18" s="3" t="inlineStr"/>
      <c r="H18" s="3" t="inlineStr"/>
      <c r="I18" s="3" t="inlineStr"/>
    </row>
    <row r="19">
      <c r="A19" s="3" t="inlineStr">
        <is>
          <t>H27</t>
        </is>
      </c>
      <c r="B19" s="3" t="inlineStr">
        <is>
          <t>Shifts</t>
        </is>
      </c>
      <c r="C19" s="3" t="inlineStr">
        <is>
          <t>Laptop (manager)</t>
        </is>
      </c>
      <c r="D19" s="3" t="inlineStr">
        <is>
          <t>Fix Cal's shift (out time) without, then with a reason</t>
        </is>
      </c>
      <c r="E19" s="3" t="inlineStr">
        <is>
          <t>Refused without; saved with 'Fixed' and the original punch shown</t>
        </is>
      </c>
      <c r="F19" s="3" t="inlineStr">
        <is>
          <t>Not tested</t>
        </is>
      </c>
      <c r="G19" s="3" t="inlineStr"/>
      <c r="H19" s="3" t="inlineStr"/>
      <c r="I19" s="3" t="inlineStr"/>
    </row>
    <row r="20">
      <c r="A20" s="3" t="inlineStr">
        <is>
          <t>H28</t>
        </is>
      </c>
      <c r="B20" s="3" t="inlineStr">
        <is>
          <t>Shifts</t>
        </is>
      </c>
      <c r="C20" s="3" t="inlineStr">
        <is>
          <t>Laptop (manager)</t>
        </is>
      </c>
      <c r="D20" s="3" t="inlineStr">
        <is>
          <t>Fix your own shift</t>
        </is>
      </c>
      <c r="E20" s="3" t="inlineStr">
        <is>
          <t>Refused: someone else fixes your own punches</t>
        </is>
      </c>
      <c r="F20" s="3" t="inlineStr">
        <is>
          <t>Not tested</t>
        </is>
      </c>
      <c r="G20" s="3" t="inlineStr"/>
      <c r="H20" s="3" t="inlineStr"/>
      <c r="I20" s="3" t="inlineStr"/>
    </row>
    <row r="21">
      <c r="A21" s="3" t="inlineStr">
        <is>
          <t>H29</t>
        </is>
      </c>
      <c r="B21" s="3" t="inlineStr">
        <is>
          <t>Shifts</t>
        </is>
      </c>
      <c r="C21" s="3" t="inlineStr">
        <is>
          <t>Laptop (manager)</t>
        </is>
      </c>
      <c r="D21" s="3" t="inlineStr">
        <is>
          <t>Add a missed shift for Sam yesterday 9-13</t>
        </is>
      </c>
      <c r="E21" s="3" t="inlineStr">
        <is>
          <t>Added, marked 'Added'; an overlapping one is refused</t>
        </is>
      </c>
      <c r="F21" s="3" t="inlineStr">
        <is>
          <t>Not tested</t>
        </is>
      </c>
      <c r="G21" s="3" t="inlineStr"/>
      <c r="H21" s="3" t="inlineStr"/>
      <c r="I21" s="3" t="inlineStr"/>
    </row>
    <row r="22">
      <c r="A22" s="3" t="inlineStr">
        <is>
          <t>H30</t>
        </is>
      </c>
      <c r="B22" s="3" t="inlineStr">
        <is>
          <t>Roster</t>
        </is>
      </c>
      <c r="C22" s="3" t="inlineStr">
        <is>
          <t>Laptop (manager)</t>
        </is>
      </c>
      <c r="D22" s="3" t="inlineStr">
        <is>
          <t>Home → Roster → next week: tap + for Cal Monday, 09:00-17:30, break 30, Till</t>
        </is>
      </c>
      <c r="E22" s="3" t="inlineStr">
        <is>
          <t>A dashed (draft) shift in the grid; Publish (1 new or changed)</t>
        </is>
      </c>
      <c r="F22" s="3" t="inlineStr">
        <is>
          <t>Not tested</t>
        </is>
      </c>
      <c r="G22" s="3" t="inlineStr"/>
      <c r="H22" s="3" t="inlineStr"/>
      <c r="I22" s="3" t="inlineStr"/>
    </row>
    <row r="23">
      <c r="A23" s="3" t="inlineStr">
        <is>
          <t>H31</t>
        </is>
      </c>
      <c r="B23" s="3" t="inlineStr">
        <is>
          <t>Roster</t>
        </is>
      </c>
      <c r="C23" s="3" t="inlineStr">
        <is>
          <t>Laptop (manager)</t>
        </is>
      </c>
      <c r="D23" s="3" t="inlineStr">
        <is>
          <t>Plan Cal 10 hours on Tuesday; then an overlapping shift on Monday</t>
        </is>
      </c>
      <c r="E23" s="3" t="inlineStr">
        <is>
          <t>Saved with an overtime warning; the overlap is refused</t>
        </is>
      </c>
      <c r="F23" s="3" t="inlineStr">
        <is>
          <t>Not tested</t>
        </is>
      </c>
      <c r="G23" s="3" t="inlineStr"/>
      <c r="H23" s="3" t="inlineStr"/>
      <c r="I23" s="3" t="inlineStr"/>
    </row>
    <row r="24">
      <c r="A24" s="3" t="inlineStr">
        <is>
          <t>H32</t>
        </is>
      </c>
      <c r="B24" s="3" t="inlineStr">
        <is>
          <t>Roster</t>
        </is>
      </c>
      <c r="C24" s="3" t="inlineStr">
        <is>
          <t>Phone (Cal)</t>
        </is>
      </c>
      <c r="D24" s="3" t="inlineStr">
        <is>
          <t>Home → Roster → next week before publishing</t>
        </is>
      </c>
      <c r="E24" s="3" t="inlineStr">
        <is>
          <t>Cal's drafts are not shown</t>
        </is>
      </c>
      <c r="F24" s="3" t="inlineStr">
        <is>
          <t>Not tested</t>
        </is>
      </c>
      <c r="G24" s="3" t="inlineStr"/>
      <c r="H24" s="3" t="inlineStr"/>
      <c r="I24" s="3" t="inlineStr"/>
    </row>
    <row r="25">
      <c r="A25" s="3" t="inlineStr">
        <is>
          <t>H33</t>
        </is>
      </c>
      <c r="B25" s="3" t="inlineStr">
        <is>
          <t>Roster</t>
        </is>
      </c>
      <c r="C25" s="3" t="inlineStr">
        <is>
          <t>Laptop (manager)</t>
        </is>
      </c>
      <c r="D25" s="3" t="inlineStr">
        <is>
          <t>Publish</t>
        </is>
      </c>
      <c r="E25" s="3" t="inlineStr">
        <is>
          <t>'Published; n people told'; Cal's inbox: Your schedule for the week …</t>
        </is>
      </c>
      <c r="F25" s="3" t="inlineStr">
        <is>
          <t>Not tested</t>
        </is>
      </c>
      <c r="G25" s="3" t="inlineStr"/>
      <c r="H25" s="3" t="inlineStr"/>
      <c r="I25" s="3" t="inlineStr"/>
    </row>
    <row r="26">
      <c r="A26" s="3" t="inlineStr">
        <is>
          <t>H34</t>
        </is>
      </c>
      <c r="B26" s="3" t="inlineStr">
        <is>
          <t>Roster</t>
        </is>
      </c>
      <c r="C26" s="3" t="inlineStr">
        <is>
          <t>Laptop (manager)</t>
        </is>
      </c>
      <c r="D26" s="3" t="inlineStr">
        <is>
          <t>Labour against sales table</t>
        </is>
      </c>
      <c r="E26" s="3" t="inlineStr">
        <is>
          <t>Planned hours, labour $ (no per-person pay), sales marked 'last week' for future days, labour %</t>
        </is>
      </c>
      <c r="F26" s="3" t="inlineStr">
        <is>
          <t>Not tested</t>
        </is>
      </c>
      <c r="G26" s="3" t="inlineStr"/>
      <c r="H26" s="3" t="inlineStr"/>
      <c r="I26" s="3" t="inlineStr"/>
    </row>
    <row r="27">
      <c r="A27" s="3" t="inlineStr">
        <is>
          <t>H35</t>
        </is>
      </c>
      <c r="B27" s="3" t="inlineStr">
        <is>
          <t>Swaps</t>
        </is>
      </c>
      <c r="C27" s="3" t="inlineStr">
        <is>
          <t>Phone (Cal)</t>
        </is>
      </c>
      <c r="D27" s="3" t="inlineStr">
        <is>
          <t>My shifts → Offer to swap → Sam</t>
        </is>
      </c>
      <c r="E27" s="3" t="inlineStr">
        <is>
          <t>Shown as offered; Sam's inbox has the offer</t>
        </is>
      </c>
      <c r="F27" s="3" t="inlineStr">
        <is>
          <t>Not tested</t>
        </is>
      </c>
      <c r="G27" s="3" t="inlineStr"/>
      <c r="H27" s="3" t="inlineStr"/>
      <c r="I27" s="3" t="inlineStr"/>
    </row>
    <row r="28">
      <c r="A28" s="3" t="inlineStr">
        <is>
          <t>H36</t>
        </is>
      </c>
      <c r="B28" s="3" t="inlineStr">
        <is>
          <t>Swaps</t>
        </is>
      </c>
      <c r="C28" s="3" t="inlineStr">
        <is>
          <t>Phone (Sam)</t>
        </is>
      </c>
      <c r="D28" s="3" t="inlineStr">
        <is>
          <t>Roster → Swaps → Take it</t>
        </is>
      </c>
      <c r="E28" s="3" t="inlineStr">
        <is>
          <t>'Taken; a manager approves it'</t>
        </is>
      </c>
      <c r="F28" s="3" t="inlineStr">
        <is>
          <t>Not tested</t>
        </is>
      </c>
      <c r="G28" s="3" t="inlineStr"/>
      <c r="H28" s="3" t="inlineStr"/>
      <c r="I28" s="3" t="inlineStr"/>
    </row>
    <row r="29">
      <c r="A29" s="3" t="inlineStr">
        <is>
          <t>H37</t>
        </is>
      </c>
      <c r="B29" s="3" t="inlineStr">
        <is>
          <t>Swaps</t>
        </is>
      </c>
      <c r="C29" s="3" t="inlineStr">
        <is>
          <t>Laptop (manager)</t>
        </is>
      </c>
      <c r="D29" s="3" t="inlineStr">
        <is>
          <t>Approve</t>
        </is>
      </c>
      <c r="E29" s="3" t="inlineStr">
        <is>
          <t>The shift moves to Sam in the grid; both are told</t>
        </is>
      </c>
      <c r="F29" s="3" t="inlineStr">
        <is>
          <t>Not tested</t>
        </is>
      </c>
      <c r="G29" s="3" t="inlineStr"/>
      <c r="H29" s="3" t="inlineStr"/>
      <c r="I29" s="3" t="inlineStr"/>
    </row>
    <row r="30">
      <c r="A30" s="3" t="inlineStr">
        <is>
          <t>H38</t>
        </is>
      </c>
      <c r="B30" s="3" t="inlineStr">
        <is>
          <t>Roster</t>
        </is>
      </c>
      <c r="C30" s="3" t="inlineStr">
        <is>
          <t>Laptop (manager)</t>
        </is>
      </c>
      <c r="D30" s="3" t="inlineStr">
        <is>
          <t>The week after → Copy last week</t>
        </is>
      </c>
      <c r="E30" s="3" t="inlineStr">
        <is>
          <t>Copied as drafts; copying again skips them</t>
        </is>
      </c>
      <c r="F30" s="3" t="inlineStr">
        <is>
          <t>Not tested</t>
        </is>
      </c>
      <c r="G30" s="3" t="inlineStr"/>
      <c r="H30" s="3" t="inlineStr"/>
      <c r="I30" s="3" t="inlineStr"/>
    </row>
    <row r="31">
      <c r="A31" s="3" t="inlineStr">
        <is>
          <t>H39</t>
        </is>
      </c>
      <c r="B31" s="3" t="inlineStr">
        <is>
          <t>Roster</t>
        </is>
      </c>
      <c r="C31" s="3" t="inlineStr">
        <is>
          <t>Laptop (manager)</t>
        </is>
      </c>
      <c r="D31" s="3" t="inlineStr">
        <is>
          <t>Remove a published shift</t>
        </is>
      </c>
      <c r="E31" s="3" t="inlineStr">
        <is>
          <t>Gone from the grid; the person is told</t>
        </is>
      </c>
      <c r="F31" s="3" t="inlineStr">
        <is>
          <t>Not tested</t>
        </is>
      </c>
      <c r="G31" s="3" t="inlineStr"/>
      <c r="H31" s="3" t="inlineStr"/>
      <c r="I31" s="3" t="inlineStr"/>
    </row>
    <row r="32">
      <c r="A32" s="3" t="inlineStr">
        <is>
          <t>H40</t>
        </is>
      </c>
      <c r="B32" s="3" t="inlineStr">
        <is>
          <t>Time sheets</t>
        </is>
      </c>
      <c r="C32" s="3" t="inlineStr">
        <is>
          <t>Laptop (manager)</t>
        </is>
      </c>
      <c r="D32" s="3" t="inlineStr">
        <is>
          <t>Home → Time sheets: the last pay period (←)</t>
        </is>
      </c>
      <c r="E32" s="3" t="inlineStr">
        <is>
          <t>Each person with paid hours, overtime, status 'To approve' and how many things are flagged</t>
        </is>
      </c>
      <c r="F32" s="3" t="inlineStr">
        <is>
          <t>Not tested</t>
        </is>
      </c>
      <c r="G32" s="3" t="inlineStr"/>
      <c r="H32" s="3" t="inlineStr"/>
      <c r="I32" s="3" t="inlineStr"/>
    </row>
    <row r="33">
      <c r="A33" s="3" t="inlineStr">
        <is>
          <t>H41</t>
        </is>
      </c>
      <c r="B33" s="3" t="inlineStr">
        <is>
          <t>Time sheets</t>
        </is>
      </c>
      <c r="C33" s="3" t="inlineStr">
        <is>
          <t>Laptop (manager)</t>
        </is>
      </c>
      <c r="D33" s="3" t="inlineStr">
        <is>
          <t>Open Cal's: shifts with flags (late, no meal break, not on the roster, no-show)</t>
        </is>
      </c>
      <c r="E33" s="3" t="inlineStr">
        <is>
          <t>Flags shown on the shifts and days</t>
        </is>
      </c>
      <c r="F33" s="3" t="inlineStr">
        <is>
          <t>Not tested</t>
        </is>
      </c>
      <c r="G33" s="3" t="inlineStr"/>
      <c r="H33" s="3" t="inlineStr"/>
      <c r="I33" s="3" t="inlineStr"/>
    </row>
    <row r="34">
      <c r="A34" s="3" t="inlineStr">
        <is>
          <t>H42</t>
        </is>
      </c>
      <c r="B34" s="3" t="inlineStr">
        <is>
          <t>Time sheets</t>
        </is>
      </c>
      <c r="C34" s="3" t="inlineStr">
        <is>
          <t>Laptop (manager)</t>
        </is>
      </c>
      <c r="D34" s="3" t="inlineStr">
        <is>
          <t>Approve with a shift still clocked in</t>
        </is>
      </c>
      <c r="E34" s="3" t="inlineStr">
        <is>
          <t>Refused: fix it first</t>
        </is>
      </c>
      <c r="F34" s="3" t="inlineStr">
        <is>
          <t>Not tested</t>
        </is>
      </c>
      <c r="G34" s="3" t="inlineStr"/>
      <c r="H34" s="3" t="inlineStr"/>
      <c r="I34" s="3" t="inlineStr"/>
    </row>
    <row r="35">
      <c r="A35" s="3" t="inlineStr">
        <is>
          <t>H43</t>
        </is>
      </c>
      <c r="B35" s="3" t="inlineStr">
        <is>
          <t>Time sheets</t>
        </is>
      </c>
      <c r="C35" s="3" t="inlineStr">
        <is>
          <t>Laptop (manager)</t>
        </is>
      </c>
      <c r="D35" s="3" t="inlineStr">
        <is>
          <t>Approve a flagged sheet without a note, then with one</t>
        </is>
      </c>
      <c r="E35" s="3" t="inlineStr">
        <is>
          <t>Refused without; 'Approved' with your name</t>
        </is>
      </c>
      <c r="F35" s="3" t="inlineStr">
        <is>
          <t>Not tested</t>
        </is>
      </c>
      <c r="G35" s="3" t="inlineStr"/>
      <c r="H35" s="3" t="inlineStr"/>
      <c r="I35" s="3" t="inlineStr"/>
    </row>
    <row r="36">
      <c r="A36" s="3" t="inlineStr">
        <is>
          <t>H44</t>
        </is>
      </c>
      <c r="B36" s="3" t="inlineStr">
        <is>
          <t>Time sheets</t>
        </is>
      </c>
      <c r="C36" s="3" t="inlineStr">
        <is>
          <t>Laptop (manager)</t>
        </is>
      </c>
      <c r="D36" s="3" t="inlineStr">
        <is>
          <t>Time clock → Shifts → fix a shift in that approved period</t>
        </is>
      </c>
      <c r="E36" s="3" t="inlineStr">
        <is>
          <t>Refused: reopen it first</t>
        </is>
      </c>
      <c r="F36" s="3" t="inlineStr">
        <is>
          <t>Not tested</t>
        </is>
      </c>
      <c r="G36" s="3" t="inlineStr"/>
      <c r="H36" s="3" t="inlineStr"/>
      <c r="I36" s="3" t="inlineStr"/>
    </row>
    <row r="37">
      <c r="A37" s="3" t="inlineStr">
        <is>
          <t>H45</t>
        </is>
      </c>
      <c r="B37" s="3" t="inlineStr">
        <is>
          <t>Time sheets</t>
        </is>
      </c>
      <c r="C37" s="3" t="inlineStr">
        <is>
          <t>Laptop (manager)</t>
        </is>
      </c>
      <c r="D37" s="3" t="inlineStr">
        <is>
          <t>Reopen it with a reason; fix; approve again</t>
        </is>
      </c>
      <c r="E37" s="3" t="inlineStr">
        <is>
          <t>Reopened; the fix is saved; approved with the new hours</t>
        </is>
      </c>
      <c r="F37" s="3" t="inlineStr">
        <is>
          <t>Not tested</t>
        </is>
      </c>
      <c r="G37" s="3" t="inlineStr"/>
      <c r="H37" s="3" t="inlineStr"/>
      <c r="I37" s="3" t="inlineStr"/>
    </row>
    <row r="38">
      <c r="A38" s="3" t="inlineStr">
        <is>
          <t>H46</t>
        </is>
      </c>
      <c r="B38" s="3" t="inlineStr">
        <is>
          <t>Time sheets</t>
        </is>
      </c>
      <c r="C38" s="3" t="inlineStr">
        <is>
          <t>Phone (Cal)</t>
        </is>
      </c>
      <c r="D38" s="3" t="inlineStr">
        <is>
          <t>Home → Time sheets</t>
        </is>
      </c>
      <c r="E38" s="3" t="inlineStr">
        <is>
          <t>Only Cal's own sheet for the period, with status</t>
        </is>
      </c>
      <c r="F38" s="3" t="inlineStr">
        <is>
          <t>Not tested</t>
        </is>
      </c>
      <c r="G38" s="3" t="inlineStr"/>
      <c r="H38" s="3" t="inlineStr"/>
      <c r="I38" s="3" t="inlineStr"/>
    </row>
    <row r="39">
      <c r="A39" s="3" t="inlineStr">
        <is>
          <t>H47</t>
        </is>
      </c>
      <c r="B39" s="3" t="inlineStr">
        <is>
          <t>Time sheets</t>
        </is>
      </c>
      <c r="C39" s="3" t="inlineStr">
        <is>
          <t>Laptop (manager)</t>
        </is>
      </c>
      <c r="D39" s="3" t="inlineStr">
        <is>
          <t>Approve your own time sheet</t>
        </is>
      </c>
      <c r="E39" s="3" t="inlineStr">
        <is>
          <t>Refused: someone else approves it</t>
        </is>
      </c>
      <c r="F39" s="3" t="inlineStr">
        <is>
          <t>Not tested</t>
        </is>
      </c>
      <c r="G39" s="3" t="inlineStr"/>
      <c r="H39" s="3" t="inlineStr"/>
      <c r="I39" s="3" t="inlineStr"/>
    </row>
    <row r="40">
      <c r="A40" s="3" t="inlineStr">
        <is>
          <t>H50</t>
        </is>
      </c>
      <c r="B40" s="3" t="inlineStr">
        <is>
          <t>Payroll</t>
        </is>
      </c>
      <c r="C40" s="3" t="inlineStr">
        <is>
          <t>Laptop (Ana, accountant)</t>
        </is>
      </c>
      <c r="D40" s="3" t="inlineStr">
        <is>
          <t>Home → Payroll → New payroll for the last ended period, pay date</t>
        </is>
      </c>
      <c r="E40" s="3" t="inlineStr">
        <is>
          <t>A PR- run: hourly people from approved time sheets, salaried people; anyone not approved listed as waiting</t>
        </is>
      </c>
      <c r="F40" s="3" t="inlineStr">
        <is>
          <t>Not tested</t>
        </is>
      </c>
      <c r="G40" s="3" t="inlineStr"/>
      <c r="H40" s="3" t="inlineStr"/>
      <c r="I40" s="3" t="inlineStr"/>
    </row>
    <row r="41">
      <c r="A41" s="3" t="inlineStr">
        <is>
          <t>H51</t>
        </is>
      </c>
      <c r="B41" s="3" t="inlineStr">
        <is>
          <t>Payroll</t>
        </is>
      </c>
      <c r="C41" s="3" t="inlineStr">
        <is>
          <t>Laptop (Ana)</t>
        </is>
      </c>
      <c r="D41" s="3" t="inlineStr">
        <is>
          <t>Check a line: hours × rate, overtime, sick pay, vacation pay 4%</t>
        </is>
      </c>
      <c r="E41" s="3" t="inlineStr">
        <is>
          <t>The sums are right; an expense paid back 'with the next pay' is added</t>
        </is>
      </c>
      <c r="F41" s="3" t="inlineStr">
        <is>
          <t>Not tested</t>
        </is>
      </c>
      <c r="G41" s="3" t="inlineStr"/>
      <c r="H41" s="3" t="inlineStr"/>
      <c r="I41" s="3" t="inlineStr"/>
    </row>
    <row r="42">
      <c r="A42" s="3" t="inlineStr">
        <is>
          <t>H52</t>
        </is>
      </c>
      <c r="B42" s="3" t="inlineStr">
        <is>
          <t>Payroll</t>
        </is>
      </c>
      <c r="C42" s="3" t="inlineStr">
        <is>
          <t>Laptop (Ana)</t>
        </is>
      </c>
      <c r="D42" s="3" t="inlineStr">
        <is>
          <t>Finalise before entering deductions</t>
        </is>
      </c>
      <c r="E42" s="3" t="inlineStr">
        <is>
          <t>Refused: enter the deductions for …</t>
        </is>
      </c>
      <c r="F42" s="3" t="inlineStr">
        <is>
          <t>Not tested</t>
        </is>
      </c>
      <c r="G42" s="3" t="inlineStr"/>
      <c r="H42" s="3" t="inlineStr"/>
      <c r="I42" s="3" t="inlineStr"/>
    </row>
    <row r="43">
      <c r="A43" s="3" t="inlineStr">
        <is>
          <t>H53</t>
        </is>
      </c>
      <c r="B43" s="3" t="inlineStr">
        <is>
          <t>Payroll</t>
        </is>
      </c>
      <c r="C43" s="3" t="inlineStr">
        <is>
          <t>Laptop (Ana)</t>
        </is>
      </c>
      <c r="D43" s="3" t="inlineStr">
        <is>
          <t>Enter CPP, EI and tax from the CRA calculator (PDOC) for each line; then Finalise</t>
        </is>
      </c>
      <c r="E43" s="3" t="inlineStr">
        <is>
          <t>Net worked out; finalised; each person gets 'Your pay stub' in the inbox</t>
        </is>
      </c>
      <c r="F43" s="3" t="inlineStr">
        <is>
          <t>Not tested</t>
        </is>
      </c>
      <c r="G43" s="3" t="inlineStr"/>
      <c r="H43" s="3" t="inlineStr"/>
      <c r="I43" s="3" t="inlineStr"/>
    </row>
    <row r="44">
      <c r="A44" s="3" t="inlineStr">
        <is>
          <t>H54</t>
        </is>
      </c>
      <c r="B44" s="3" t="inlineStr">
        <is>
          <t>Payroll</t>
        </is>
      </c>
      <c r="C44" s="3" t="inlineStr">
        <is>
          <t>Laptop (Ana)</t>
        </is>
      </c>
      <c r="D44" s="3" t="inlineStr">
        <is>
          <t>Record the payment: direct deposit, reference</t>
        </is>
      </c>
      <c r="E44" s="3" t="inlineStr">
        <is>
          <t>Status Paid</t>
        </is>
      </c>
      <c r="F44" s="3" t="inlineStr">
        <is>
          <t>Not tested</t>
        </is>
      </c>
      <c r="G44" s="3" t="inlineStr"/>
      <c r="H44" s="3" t="inlineStr"/>
      <c r="I44" s="3" t="inlineStr"/>
    </row>
    <row r="45">
      <c r="A45" s="3" t="inlineStr">
        <is>
          <t>H55</t>
        </is>
      </c>
      <c r="B45" s="3" t="inlineStr">
        <is>
          <t>Payroll</t>
        </is>
      </c>
      <c r="C45" s="3" t="inlineStr">
        <is>
          <t>Phone (Cal)</t>
        </is>
      </c>
      <c r="D45" s="3" t="inlineStr">
        <is>
          <t>People → Me → Pay stubs → open one</t>
        </is>
      </c>
      <c r="E45" s="3" t="inlineStr">
        <is>
          <t>Earnings, deductions, net, year to date; Print works</t>
        </is>
      </c>
      <c r="F45" s="3" t="inlineStr">
        <is>
          <t>Not tested</t>
        </is>
      </c>
      <c r="G45" s="3" t="inlineStr"/>
      <c r="H45" s="3" t="inlineStr"/>
      <c r="I45" s="3" t="inlineStr"/>
    </row>
    <row r="46">
      <c r="A46" s="3" t="inlineStr">
        <is>
          <t>H56</t>
        </is>
      </c>
      <c r="B46" s="3" t="inlineStr">
        <is>
          <t>Payroll</t>
        </is>
      </c>
      <c r="C46" s="3" t="inlineStr">
        <is>
          <t>Laptop (manager)</t>
        </is>
      </c>
      <c r="D46" s="3" t="inlineStr">
        <is>
          <t>Open Payroll (no tile) or #payroll</t>
        </is>
      </c>
      <c r="E46" s="3" t="inlineStr">
        <is>
          <t>No access</t>
        </is>
      </c>
      <c r="F46" s="3" t="inlineStr">
        <is>
          <t>Not tested</t>
        </is>
      </c>
      <c r="G46" s="3" t="inlineStr"/>
      <c r="H46" s="3" t="inlineStr"/>
      <c r="I46" s="3" t="inlineStr"/>
    </row>
    <row r="47">
      <c r="A47" s="3" t="inlineStr">
        <is>
          <t>H57</t>
        </is>
      </c>
      <c r="B47" s="3" t="inlineStr">
        <is>
          <t>Payroll</t>
        </is>
      </c>
      <c r="C47" s="3" t="inlineStr">
        <is>
          <t>Laptop (Ana)</t>
        </is>
      </c>
      <c r="D47" s="3" t="inlineStr">
        <is>
          <t>T4 tab: this year; export CSV</t>
        </is>
      </c>
      <c r="E47" s="3" t="inlineStr">
        <is>
          <t>Boxes 14-26 per employee, SIN masked</t>
        </is>
      </c>
      <c r="F47" s="3" t="inlineStr">
        <is>
          <t>Not tested</t>
        </is>
      </c>
      <c r="G47" s="3" t="inlineStr"/>
      <c r="H47" s="3" t="inlineStr"/>
      <c r="I47" s="3" t="inlineStr"/>
    </row>
    <row r="48">
      <c r="A48" s="3" t="inlineStr">
        <is>
          <t>H58</t>
        </is>
      </c>
      <c r="B48" s="3" t="inlineStr">
        <is>
          <t>Payroll</t>
        </is>
      </c>
      <c r="C48" s="3" t="inlineStr">
        <is>
          <t>Laptop (owner)</t>
        </is>
      </c>
      <c r="D48" s="3" t="inlineStr">
        <is>
          <t>People: set someone ended with an end date; Payroll → ROE → choose them</t>
        </is>
      </c>
      <c r="E48" s="3" t="inlineStr">
        <is>
          <t>Blocks 10-17A filled from their pay</t>
        </is>
      </c>
      <c r="F48" s="3" t="inlineStr">
        <is>
          <t>Not tested</t>
        </is>
      </c>
      <c r="G48" s="3" t="inlineStr"/>
      <c r="H48" s="3" t="inlineStr"/>
      <c r="I48" s="3" t="inlineStr"/>
    </row>
    <row r="49">
      <c r="A49" s="3" t="inlineStr">
        <is>
          <t>H59</t>
        </is>
      </c>
      <c r="B49" s="3" t="inlineStr">
        <is>
          <t>Time sheets</t>
        </is>
      </c>
      <c r="C49" s="3" t="inlineStr">
        <is>
          <t>Laptop (manager)</t>
        </is>
      </c>
      <c r="D49" s="3" t="inlineStr">
        <is>
          <t>Reopen a time sheet that payroll has paid</t>
        </is>
      </c>
      <c r="E49" s="3" t="inlineStr">
        <is>
          <t>Refused: corrections go in the next pay</t>
        </is>
      </c>
      <c r="F49" s="3" t="inlineStr">
        <is>
          <t>Not tested</t>
        </is>
      </c>
      <c r="G49" s="3" t="inlineStr"/>
      <c r="H49" s="3" t="inlineStr"/>
      <c r="I49" s="3" t="inlineStr"/>
    </row>
    <row r="50">
      <c r="A50" s="3" t="inlineStr">
        <is>
          <t>H60</t>
        </is>
      </c>
      <c r="B50" s="3" t="inlineStr">
        <is>
          <t>Bank</t>
        </is>
      </c>
      <c r="C50" s="3" t="inlineStr">
        <is>
          <t>Laptop (Ana)</t>
        </is>
      </c>
      <c r="D50" s="3" t="inlineStr">
        <is>
          <t>Home → Bank → Add an account: chequing, opening balance</t>
        </is>
      </c>
      <c r="E50" s="3" t="inlineStr">
        <is>
          <t>The account card with the balance</t>
        </is>
      </c>
      <c r="F50" s="3" t="inlineStr">
        <is>
          <t>Not tested</t>
        </is>
      </c>
      <c r="G50" s="3" t="inlineStr"/>
      <c r="H50" s="3" t="inlineStr"/>
      <c r="I50" s="3" t="inlineStr"/>
    </row>
    <row r="51">
      <c r="A51" s="3" t="inlineStr">
        <is>
          <t>H61</t>
        </is>
      </c>
      <c r="B51" s="3" t="inlineStr">
        <is>
          <t>Bank</t>
        </is>
      </c>
      <c r="C51" s="3" t="inlineStr">
        <is>
          <t>Laptop (Ana)</t>
        </is>
      </c>
      <c r="D51" s="3" t="inlineStr">
        <is>
          <t>Import a real CSV statement from the store's bank (RBC, TD, BMO, Scotia or CIBC)</t>
        </is>
      </c>
      <c r="E51" s="3" t="inlineStr">
        <is>
          <t>Lines added with the right signs and dates; 'n matched' for payments Chedam knows</t>
        </is>
      </c>
      <c r="F51" s="3" t="inlineStr">
        <is>
          <t>Not tested</t>
        </is>
      </c>
      <c r="G51" s="3" t="inlineStr"/>
      <c r="H51" s="3" t="inlineStr"/>
      <c r="I51" s="3" t="inlineStr"/>
    </row>
    <row r="52">
      <c r="A52" s="3" t="inlineStr">
        <is>
          <t>H62</t>
        </is>
      </c>
      <c r="B52" s="3" t="inlineStr">
        <is>
          <t>Bank</t>
        </is>
      </c>
      <c r="C52" s="3" t="inlineStr">
        <is>
          <t>Laptop (Ana)</t>
        </is>
      </c>
      <c r="D52" s="3" t="inlineStr">
        <is>
          <t>Import the same file again; then an OFX/QFX file if the bank offers it</t>
        </is>
      </c>
      <c r="E52" s="3" t="inlineStr">
        <is>
          <t>All duplicates; the OFX lines added</t>
        </is>
      </c>
      <c r="F52" s="3" t="inlineStr">
        <is>
          <t>Not tested</t>
        </is>
      </c>
      <c r="G52" s="3" t="inlineStr"/>
      <c r="H52" s="3" t="inlineStr"/>
      <c r="I52" s="3" t="inlineStr"/>
    </row>
    <row r="53">
      <c r="A53" s="3" t="inlineStr">
        <is>
          <t>H63</t>
        </is>
      </c>
      <c r="B53" s="3" t="inlineStr">
        <is>
          <t>Bank</t>
        </is>
      </c>
      <c r="C53" s="3" t="inlineStr">
        <is>
          <t>Laptop (Ana)</t>
        </is>
      </c>
      <c r="D53" s="3" t="inlineStr">
        <is>
          <t>Open an unmatched line: the possible matches; tick one and Match</t>
        </is>
      </c>
      <c r="E53" s="3" t="inlineStr">
        <is>
          <t>Matched; shows what it matched and who</t>
        </is>
      </c>
      <c r="F53" s="3" t="inlineStr">
        <is>
          <t>Not tested</t>
        </is>
      </c>
      <c r="G53" s="3" t="inlineStr"/>
      <c r="H53" s="3" t="inlineStr"/>
      <c r="I53" s="3" t="inlineStr"/>
    </row>
    <row r="54">
      <c r="A54" s="3" t="inlineStr">
        <is>
          <t>H64</t>
        </is>
      </c>
      <c r="B54" s="3" t="inlineStr">
        <is>
          <t>Bank</t>
        </is>
      </c>
      <c r="C54" s="3" t="inlineStr">
        <is>
          <t>Laptop (Ana)</t>
        </is>
      </c>
      <c r="D54" s="3" t="inlineStr">
        <is>
          <t>A card deposit line: match it to the card sales of the day</t>
        </is>
      </c>
      <c r="E54" s="3" t="inlineStr">
        <is>
          <t>Matched with the processor fee shown</t>
        </is>
      </c>
      <c r="F54" s="3" t="inlineStr">
        <is>
          <t>Not tested</t>
        </is>
      </c>
      <c r="G54" s="3" t="inlineStr"/>
      <c r="H54" s="3" t="inlineStr"/>
      <c r="I54" s="3" t="inlineStr"/>
    </row>
    <row r="55">
      <c r="A55" s="3" t="inlineStr">
        <is>
          <t>H65</t>
        </is>
      </c>
      <c r="B55" s="3" t="inlineStr">
        <is>
          <t>Bank</t>
        </is>
      </c>
      <c r="C55" s="3" t="inlineStr">
        <is>
          <t>Laptop (Ana)</t>
        </is>
      </c>
      <c r="D55" s="3" t="inlineStr">
        <is>
          <t>A bank fee line: category Bank fees</t>
        </is>
      </c>
      <c r="E55" s="3" t="inlineStr">
        <is>
          <t>Matched as Bank fees</t>
        </is>
      </c>
      <c r="F55" s="3" t="inlineStr">
        <is>
          <t>Not tested</t>
        </is>
      </c>
      <c r="G55" s="3" t="inlineStr"/>
      <c r="H55" s="3" t="inlineStr"/>
      <c r="I55" s="3" t="inlineStr"/>
    </row>
    <row r="56">
      <c r="A56" s="3" t="inlineStr">
        <is>
          <t>H66</t>
        </is>
      </c>
      <c r="B56" s="3" t="inlineStr">
        <is>
          <t>Bank</t>
        </is>
      </c>
      <c r="C56" s="3" t="inlineStr">
        <is>
          <t>Laptop (Ana)</t>
        </is>
      </c>
      <c r="D56" s="3" t="inlineStr">
        <is>
          <t>Cash deposit: tick closed tills, Use the amount, Record</t>
        </is>
      </c>
      <c r="E56" s="3" t="inlineStr">
        <is>
          <t>DP- in transit; matched after importing the statement with it</t>
        </is>
      </c>
      <c r="F56" s="3" t="inlineStr">
        <is>
          <t>Not tested</t>
        </is>
      </c>
      <c r="G56" s="3" t="inlineStr"/>
      <c r="H56" s="3" t="inlineStr"/>
      <c r="I56" s="3" t="inlineStr"/>
    </row>
    <row r="57">
      <c r="A57" s="3" t="inlineStr">
        <is>
          <t>H67</t>
        </is>
      </c>
      <c r="B57" s="3" t="inlineStr">
        <is>
          <t>Bank</t>
        </is>
      </c>
      <c r="C57" s="3" t="inlineStr">
        <is>
          <t>Laptop (Ana)</t>
        </is>
      </c>
      <c r="D57" s="3" t="inlineStr">
        <is>
          <t>Reconcile with the statement's closing balance: wrong, then right</t>
        </is>
      </c>
      <c r="E57" s="3" t="inlineStr">
        <is>
          <t>The difference shown; then 'Reconciled to …'</t>
        </is>
      </c>
      <c r="F57" s="3" t="inlineStr">
        <is>
          <t>Not tested</t>
        </is>
      </c>
      <c r="G57" s="3" t="inlineStr"/>
      <c r="H57" s="3" t="inlineStr"/>
      <c r="I57" s="3" t="inlineStr"/>
    </row>
    <row r="58">
      <c r="A58" s="3" t="inlineStr">
        <is>
          <t>H68</t>
        </is>
      </c>
      <c r="B58" s="3" t="inlineStr">
        <is>
          <t>Bank</t>
        </is>
      </c>
      <c r="C58" s="3" t="inlineStr">
        <is>
          <t>Laptop (manager)</t>
        </is>
      </c>
      <c r="D58" s="3" t="inlineStr">
        <is>
          <t>Home: no Bank tile; #bank</t>
        </is>
      </c>
      <c r="E58" s="3" t="inlineStr">
        <is>
          <t>No access</t>
        </is>
      </c>
      <c r="F58" s="3" t="inlineStr">
        <is>
          <t>Not tested</t>
        </is>
      </c>
      <c r="G58" s="3" t="inlineStr"/>
      <c r="H58" s="3" t="inlineStr"/>
      <c r="I58" s="3" t="inlineStr"/>
    </row>
    <row r="59">
      <c r="A59" s="3" t="inlineStr">
        <is>
          <t>H70</t>
        </is>
      </c>
      <c r="B59" s="3" t="inlineStr">
        <is>
          <t>Card fees</t>
        </is>
      </c>
      <c r="C59" s="3" t="inlineStr">
        <is>
          <t>Till (cashier)</t>
        </is>
      </c>
      <c r="D59" s="3" t="inlineStr">
        <is>
          <t>Sell → Card: choose Visa, Approved; another sale by card without choosing the type</t>
        </is>
      </c>
      <c r="E59" s="3" t="inlineStr">
        <is>
          <t>Both sales complete; the type is optional</t>
        </is>
      </c>
      <c r="F59" s="3" t="inlineStr">
        <is>
          <t>Not tested</t>
        </is>
      </c>
      <c r="G59" s="3" t="inlineStr"/>
      <c r="H59" s="3" t="inlineStr"/>
      <c r="I59" s="3" t="inlineStr"/>
    </row>
    <row r="60">
      <c r="A60" s="3" t="inlineStr">
        <is>
          <t>H71</t>
        </is>
      </c>
      <c r="B60" s="3" t="inlineStr">
        <is>
          <t>Card fees</t>
        </is>
      </c>
      <c r="C60" s="3" t="inlineStr">
        <is>
          <t>Laptop (Ana)</t>
        </is>
      </c>
      <c r="D60" s="3" t="inlineStr">
        <is>
          <t>Home → Fees and statements → Card fees: today</t>
        </is>
      </c>
      <c r="E60" s="3" t="inlineStr">
        <is>
          <t>Visa at 1.6%, 'Type not given' at the other rate; estimated fees</t>
        </is>
      </c>
      <c r="F60" s="3" t="inlineStr">
        <is>
          <t>Not tested</t>
        </is>
      </c>
      <c r="G60" s="3" t="inlineStr"/>
      <c r="H60" s="3" t="inlineStr"/>
      <c r="I60" s="3" t="inlineStr"/>
    </row>
    <row r="61">
      <c r="A61" s="3" t="inlineStr">
        <is>
          <t>H72</t>
        </is>
      </c>
      <c r="B61" s="3" t="inlineStr">
        <is>
          <t>Card fees</t>
        </is>
      </c>
      <c r="C61" s="3" t="inlineStr">
        <is>
          <t>Laptop (Ana)</t>
        </is>
      </c>
      <c r="D61" s="3" t="inlineStr">
        <is>
          <t>Bank: match tomorrow's card deposit; back to Card fees</t>
        </is>
      </c>
      <c r="E61" s="3" t="inlineStr">
        <is>
          <t>Actual fee and rate shown; the period's fee uses it</t>
        </is>
      </c>
      <c r="F61" s="3" t="inlineStr">
        <is>
          <t>Not tested</t>
        </is>
      </c>
      <c r="G61" s="3" t="inlineStr"/>
      <c r="H61" s="3" t="inlineStr"/>
      <c r="I61" s="3" t="inlineStr"/>
    </row>
    <row r="62">
      <c r="A62" s="3" t="inlineStr">
        <is>
          <t>H73</t>
        </is>
      </c>
      <c r="B62" s="3" t="inlineStr">
        <is>
          <t>Payouts</t>
        </is>
      </c>
      <c r="C62" s="3" t="inlineStr">
        <is>
          <t>Laptop (Ana)</t>
        </is>
      </c>
      <c r="D62" s="3" t="inlineStr">
        <is>
          <t>Platform payouts → Enter a payout statement that does not add up</t>
        </is>
      </c>
      <c r="E62" s="3" t="inlineStr">
        <is>
          <t>Refused with the right payout</t>
        </is>
      </c>
      <c r="F62" s="3" t="inlineStr">
        <is>
          <t>Not tested</t>
        </is>
      </c>
      <c r="G62" s="3" t="inlineStr"/>
      <c r="H62" s="3" t="inlineStr"/>
      <c r="I62" s="3" t="inlineStr"/>
    </row>
    <row r="63">
      <c r="A63" s="3" t="inlineStr">
        <is>
          <t>H74</t>
        </is>
      </c>
      <c r="B63" s="3" t="inlineStr">
        <is>
          <t>Payouts</t>
        </is>
      </c>
      <c r="C63" s="3" t="inlineStr">
        <is>
          <t>Laptop (Ana)</t>
        </is>
      </c>
      <c r="D63" s="3" t="inlineStr">
        <is>
          <t>Enter one with the orders pasted (one wrong amount, one unknown number)</t>
        </is>
      </c>
      <c r="E63" s="3" t="inlineStr">
        <is>
          <t>Saved; the differences listed; commission %</t>
        </is>
      </c>
      <c r="F63" s="3" t="inlineStr">
        <is>
          <t>Not tested</t>
        </is>
      </c>
      <c r="G63" s="3" t="inlineStr"/>
      <c r="H63" s="3" t="inlineStr"/>
      <c r="I63" s="3" t="inlineStr"/>
    </row>
    <row r="64">
      <c r="A64" s="3" t="inlineStr">
        <is>
          <t>H75</t>
        </is>
      </c>
      <c r="B64" s="3" t="inlineStr">
        <is>
          <t>Payouts</t>
        </is>
      </c>
      <c r="C64" s="3" t="inlineStr">
        <is>
          <t>Laptop (Ana)</t>
        </is>
      </c>
      <c r="D64" s="3" t="inlineStr">
        <is>
          <t>Import a bank line with the payout amount</t>
        </is>
      </c>
      <c r="E64" s="3" t="inlineStr">
        <is>
          <t>The payout shows 'In the bank'</t>
        </is>
      </c>
      <c r="F64" s="3" t="inlineStr">
        <is>
          <t>Not tested</t>
        </is>
      </c>
      <c r="G64" s="3" t="inlineStr"/>
      <c r="H64" s="3" t="inlineStr"/>
      <c r="I64" s="3" t="inlineStr"/>
    </row>
    <row r="65">
      <c r="A65" s="3" t="inlineStr">
        <is>
          <t>H76</t>
        </is>
      </c>
      <c r="B65" s="3" t="inlineStr">
        <is>
          <t>Vendor statements</t>
        </is>
      </c>
      <c r="C65" s="3" t="inlineStr">
        <is>
          <t>Laptop (Ana)</t>
        </is>
      </c>
      <c r="D65" s="3" t="inlineStr">
        <is>
          <t>Check a vendor statement: paste its invoices, enter its balance</t>
        </is>
      </c>
      <c r="E65" s="3" t="inlineStr">
        <is>
          <t>Agreed, different, missing in Chedam, not on the statement; the balance difference</t>
        </is>
      </c>
      <c r="F65" s="3" t="inlineStr">
        <is>
          <t>Not tested</t>
        </is>
      </c>
      <c r="G65" s="3" t="inlineStr"/>
      <c r="H65" s="3" t="inlineStr"/>
      <c r="I65" s="3" t="inlineStr"/>
    </row>
    <row r="66">
      <c r="A66" s="3" t="inlineStr">
        <is>
          <t>H80</t>
        </is>
      </c>
      <c r="B66" s="3" t="inlineStr">
        <is>
          <t>Books</t>
        </is>
      </c>
      <c r="C66" s="3" t="inlineStr">
        <is>
          <t>Laptop (Ana)</t>
        </is>
      </c>
      <c r="D66" s="3" t="inlineStr">
        <is>
          <t>Home → Books → Trial balance for this month</t>
        </is>
      </c>
      <c r="E66" s="3" t="inlineStr">
        <is>
          <t>'Balanced'; accounts by type with debits, credits, balances</t>
        </is>
      </c>
      <c r="F66" s="3" t="inlineStr">
        <is>
          <t>Not tested</t>
        </is>
      </c>
      <c r="G66" s="3" t="inlineStr"/>
      <c r="H66" s="3" t="inlineStr"/>
      <c r="I66" s="3" t="inlineStr"/>
    </row>
    <row r="67">
      <c r="A67" s="3" t="inlineStr">
        <is>
          <t>H81</t>
        </is>
      </c>
      <c r="B67" s="3" t="inlineStr">
        <is>
          <t>Books</t>
        </is>
      </c>
      <c r="C67" s="3" t="inlineStr">
        <is>
          <t>Laptop (Ana)</t>
        </is>
      </c>
      <c r="D67" s="3" t="inlineStr">
        <is>
          <t>Make a sale, a bill and an expense; Show again</t>
        </is>
      </c>
      <c r="E67" s="3" t="inlineStr">
        <is>
          <t>Sales, GST/PST collected, cost of goods sold, payables, the expense category change</t>
        </is>
      </c>
      <c r="F67" s="3" t="inlineStr">
        <is>
          <t>Not tested</t>
        </is>
      </c>
      <c r="G67" s="3" t="inlineStr"/>
      <c r="H67" s="3" t="inlineStr"/>
      <c r="I67" s="3" t="inlineStr"/>
    </row>
    <row r="68">
      <c r="A68" s="3" t="inlineStr">
        <is>
          <t>H82</t>
        </is>
      </c>
      <c r="B68" s="3" t="inlineStr">
        <is>
          <t>Books</t>
        </is>
      </c>
      <c r="C68" s="3" t="inlineStr">
        <is>
          <t>Laptop (Ana)</t>
        </is>
      </c>
      <c r="D68" s="3" t="inlineStr">
        <is>
          <t>Tap an account: its journal entries</t>
        </is>
      </c>
      <c r="E68" s="3" t="inlineStr">
        <is>
          <t>Each entry with its lines (debits, credits in brackets)</t>
        </is>
      </c>
      <c r="F68" s="3" t="inlineStr">
        <is>
          <t>Not tested</t>
        </is>
      </c>
      <c r="G68" s="3" t="inlineStr"/>
      <c r="H68" s="3" t="inlineStr"/>
      <c r="I68" s="3" t="inlineStr"/>
    </row>
    <row r="69">
      <c r="A69" s="3" t="inlineStr">
        <is>
          <t>H83</t>
        </is>
      </c>
      <c r="B69" s="3" t="inlineStr">
        <is>
          <t>Books</t>
        </is>
      </c>
      <c r="C69" s="3" t="inlineStr">
        <is>
          <t>Laptop (Ana)</t>
        </is>
      </c>
      <c r="D69" s="3" t="inlineStr">
        <is>
          <t>Chart of accounts: rename Sales and give it your code 4000-QB</t>
        </is>
      </c>
      <c r="E69" s="3" t="inlineStr">
        <is>
          <t>Saved; shown in the trial balance and exports</t>
        </is>
      </c>
      <c r="F69" s="3" t="inlineStr">
        <is>
          <t>Not tested</t>
        </is>
      </c>
      <c r="G69" s="3" t="inlineStr"/>
      <c r="H69" s="3" t="inlineStr"/>
      <c r="I69" s="3" t="inlineStr"/>
    </row>
    <row r="70">
      <c r="A70" s="3" t="inlineStr">
        <is>
          <t>H84</t>
        </is>
      </c>
      <c r="B70" s="3" t="inlineStr">
        <is>
          <t>Books</t>
        </is>
      </c>
      <c r="C70" s="3" t="inlineStr">
        <is>
          <t>Laptop (Ana)</t>
        </is>
      </c>
      <c r="D70" s="3" t="inlineStr">
        <is>
          <t>Months → Close last month</t>
        </is>
      </c>
      <c r="E70" s="3" t="inlineStr">
        <is>
          <t>First the list of what is still open; 'Close it anyway' closes it</t>
        </is>
      </c>
      <c r="F70" s="3" t="inlineStr">
        <is>
          <t>Not tested</t>
        </is>
      </c>
      <c r="G70" s="3" t="inlineStr"/>
      <c r="H70" s="3" t="inlineStr"/>
      <c r="I70" s="3" t="inlineStr"/>
    </row>
    <row r="71">
      <c r="A71" s="3" t="inlineStr">
        <is>
          <t>H85</t>
        </is>
      </c>
      <c r="B71" s="3" t="inlineStr">
        <is>
          <t>Books</t>
        </is>
      </c>
      <c r="C71" s="3" t="inlineStr">
        <is>
          <t>Laptop (Ana)</t>
        </is>
      </c>
      <c r="D71" s="3" t="inlineStr">
        <is>
          <t>Record a bill dated in the closed month</t>
        </is>
      </c>
      <c r="E71" s="3" t="inlineStr">
        <is>
          <t>Refused: the month is closed</t>
        </is>
      </c>
      <c r="F71" s="3" t="inlineStr">
        <is>
          <t>Not tested</t>
        </is>
      </c>
      <c r="G71" s="3" t="inlineStr"/>
      <c r="H71" s="3" t="inlineStr"/>
      <c r="I71" s="3" t="inlineStr"/>
    </row>
    <row r="72">
      <c r="A72" s="3" t="inlineStr">
        <is>
          <t>H86</t>
        </is>
      </c>
      <c r="B72" s="3" t="inlineStr">
        <is>
          <t>Books</t>
        </is>
      </c>
      <c r="C72" s="3" t="inlineStr">
        <is>
          <t>Laptop (owner)</t>
        </is>
      </c>
      <c r="D72" s="3" t="inlineStr">
        <is>
          <t>Months → Reopen with a reason</t>
        </is>
      </c>
      <c r="E72" s="3" t="inlineStr">
        <is>
          <t>Open again; the bill can be recorded</t>
        </is>
      </c>
      <c r="F72" s="3" t="inlineStr">
        <is>
          <t>Not tested</t>
        </is>
      </c>
      <c r="G72" s="3" t="inlineStr"/>
      <c r="H72" s="3" t="inlineStr"/>
      <c r="I72" s="3" t="inlineStr"/>
    </row>
    <row r="73">
      <c r="A73" s="3" t="inlineStr">
        <is>
          <t>H87</t>
        </is>
      </c>
      <c r="B73" s="3" t="inlineStr">
        <is>
          <t>Books</t>
        </is>
      </c>
      <c r="C73" s="3" t="inlineStr">
        <is>
          <t>Laptop (manager)</t>
        </is>
      </c>
      <c r="D73" s="3" t="inlineStr">
        <is>
          <t>#books</t>
        </is>
      </c>
      <c r="E73" s="3" t="inlineStr">
        <is>
          <t>No access</t>
        </is>
      </c>
      <c r="F73" s="3" t="inlineStr">
        <is>
          <t>Not tested</t>
        </is>
      </c>
      <c r="G73" s="3" t="inlineStr"/>
      <c r="H73" s="3" t="inlineStr"/>
      <c r="I73" s="3" t="inlineStr"/>
    </row>
    <row r="74">
      <c r="A74" s="3" t="inlineStr">
        <is>
          <t>H90</t>
        </is>
      </c>
      <c r="B74" s="3" t="inlineStr">
        <is>
          <t>Statements</t>
        </is>
      </c>
      <c r="C74" s="3" t="inlineStr">
        <is>
          <t>Laptop (Ana)</t>
        </is>
      </c>
      <c r="D74" s="3" t="inlineStr">
        <is>
          <t>Home → Statements and returns → Profit and loss: last month</t>
        </is>
      </c>
      <c r="E74" s="3" t="inlineStr">
        <is>
          <t>Revenue, cost of sales, gross profit %, expenses, net income; the month before below</t>
        </is>
      </c>
      <c r="F74" s="3" t="inlineStr">
        <is>
          <t>Not tested</t>
        </is>
      </c>
      <c r="G74" s="3" t="inlineStr"/>
      <c r="H74" s="3" t="inlineStr"/>
      <c r="I74" s="3" t="inlineStr"/>
    </row>
    <row r="75">
      <c r="A75" s="3" t="inlineStr">
        <is>
          <t>H91</t>
        </is>
      </c>
      <c r="B75" s="3" t="inlineStr">
        <is>
          <t>Statements</t>
        </is>
      </c>
      <c r="C75" s="3" t="inlineStr">
        <is>
          <t>Laptop (Ana)</t>
        </is>
      </c>
      <c r="D75" s="3" t="inlineStr">
        <is>
          <t>Balance sheet: today</t>
        </is>
      </c>
      <c r="E75" s="3" t="inlineStr">
        <is>
          <t>Assets = liabilities + equity + earnings ('Balanced')</t>
        </is>
      </c>
      <c r="F75" s="3" t="inlineStr">
        <is>
          <t>Not tested</t>
        </is>
      </c>
      <c r="G75" s="3" t="inlineStr"/>
      <c r="H75" s="3" t="inlineStr"/>
      <c r="I75" s="3" t="inlineStr"/>
    </row>
    <row r="76">
      <c r="A76" s="3" t="inlineStr">
        <is>
          <t>H92</t>
        </is>
      </c>
      <c r="B76" s="3" t="inlineStr">
        <is>
          <t>Statements</t>
        </is>
      </c>
      <c r="C76" s="3" t="inlineStr">
        <is>
          <t>Laptop (Ana)</t>
        </is>
      </c>
      <c r="D76" s="3" t="inlineStr">
        <is>
          <t>Cash flow: last month</t>
        </is>
      </c>
      <c r="E76" s="3" t="inlineStr">
        <is>
          <t>Cash at the start + operating + financing = cash at the end</t>
        </is>
      </c>
      <c r="F76" s="3" t="inlineStr">
        <is>
          <t>Not tested</t>
        </is>
      </c>
      <c r="G76" s="3" t="inlineStr"/>
      <c r="H76" s="3" t="inlineStr"/>
      <c r="I76" s="3" t="inlineStr"/>
    </row>
    <row r="77">
      <c r="A77" s="3" t="inlineStr">
        <is>
          <t>H93</t>
        </is>
      </c>
      <c r="B77" s="3" t="inlineStr">
        <is>
          <t>Returns</t>
        </is>
      </c>
      <c r="C77" s="3" t="inlineStr">
        <is>
          <t>Laptop (Ana)</t>
        </is>
      </c>
      <c r="D77" s="3" t="inlineStr">
        <is>
          <t>GST/HST return: last quarter; compare lines 103 and 106 with the accountant's figures</t>
        </is>
      </c>
      <c r="E77" s="3" t="inlineStr">
        <is>
          <t>Lines 101-113A filled; refund when negative</t>
        </is>
      </c>
      <c r="F77" s="3" t="inlineStr">
        <is>
          <t>Not tested</t>
        </is>
      </c>
      <c r="G77" s="3" t="inlineStr"/>
      <c r="H77" s="3" t="inlineStr"/>
      <c r="I77" s="3" t="inlineStr"/>
    </row>
    <row r="78">
      <c r="A78" s="3" t="inlineStr">
        <is>
          <t>H94</t>
        </is>
      </c>
      <c r="B78" s="3" t="inlineStr">
        <is>
          <t>Returns</t>
        </is>
      </c>
      <c r="C78" s="3" t="inlineStr">
        <is>
          <t>Laptop (Ana)</t>
        </is>
      </c>
      <c r="D78" s="3" t="inlineStr">
        <is>
          <t>PST return: last month</t>
        </is>
      </c>
      <c r="E78" s="3" t="inlineStr">
        <is>
          <t>PST collected, commission 3.3% (up to $198), net to remit</t>
        </is>
      </c>
      <c r="F78" s="3" t="inlineStr">
        <is>
          <t>Not tested</t>
        </is>
      </c>
      <c r="G78" s="3" t="inlineStr"/>
      <c r="H78" s="3" t="inlineStr"/>
      <c r="I78" s="3" t="inlineStr"/>
    </row>
    <row r="79">
      <c r="A79" s="3" t="inlineStr">
        <is>
          <t>H95</t>
        </is>
      </c>
      <c r="B79" s="3" t="inlineStr">
        <is>
          <t>Returns</t>
        </is>
      </c>
      <c r="C79" s="3" t="inlineStr">
        <is>
          <t>Laptop (Ana)</t>
        </is>
      </c>
      <c r="D79" s="3" t="inlineStr">
        <is>
          <t>Record as filed with a confirmation number; again</t>
        </is>
      </c>
      <c r="E79" s="3" t="inlineStr">
        <is>
          <t>Saved under Filed returns; the second time refused</t>
        </is>
      </c>
      <c r="F79" s="3" t="inlineStr">
        <is>
          <t>Not tested</t>
        </is>
      </c>
      <c r="G79" s="3" t="inlineStr"/>
      <c r="H79" s="3" t="inlineStr"/>
      <c r="I79" s="3" t="inlineStr"/>
    </row>
    <row r="80">
      <c r="A80" s="3" t="inlineStr">
        <is>
          <t>H96</t>
        </is>
      </c>
      <c r="B80" s="3" t="inlineStr">
        <is>
          <t>Statements</t>
        </is>
      </c>
      <c r="C80" s="3" t="inlineStr">
        <is>
          <t>Laptop (owner)</t>
        </is>
      </c>
      <c r="D80" s="3" t="inlineStr">
        <is>
          <t>Print the profit and loss</t>
        </is>
      </c>
      <c r="E80" s="3" t="inlineStr">
        <is>
          <t>A clean printout</t>
        </is>
      </c>
      <c r="F80" s="3" t="inlineStr">
        <is>
          <t>Not tested</t>
        </is>
      </c>
      <c r="G80" s="3" t="inlineStr"/>
      <c r="H80" s="3" t="inlineStr"/>
      <c r="I80" s="3" t="inlineStr"/>
    </row>
    <row r="81">
      <c r="A81" s="3" t="inlineStr">
        <is>
          <t>H97</t>
        </is>
      </c>
      <c r="B81" s="3" t="inlineStr">
        <is>
          <t>Exports</t>
        </is>
      </c>
      <c r="C81" s="3" t="inlineStr">
        <is>
          <t>Laptop (Ana)</t>
        </is>
      </c>
      <c r="D81" s="3" t="inlineStr">
        <is>
          <t>Books → Exports: general journal, QuickBooks Online, last month → Download; import it into a QuickBooks test company (or open in Excel)</t>
        </is>
      </c>
      <c r="E81" s="3" t="inlineStr">
        <is>
          <t>Every journal's debits equal its credits; accounts by your codes</t>
        </is>
      </c>
      <c r="F81" s="3" t="inlineStr">
        <is>
          <t>Not tested</t>
        </is>
      </c>
      <c r="G81" s="3" t="inlineStr"/>
      <c r="H81" s="3" t="inlineStr"/>
      <c r="I81" s="3" t="inlineStr"/>
    </row>
    <row r="82">
      <c r="A82" s="3" t="inlineStr">
        <is>
          <t>H98</t>
        </is>
      </c>
      <c r="B82" s="3" t="inlineStr">
        <is>
          <t>Exports</t>
        </is>
      </c>
      <c r="C82" s="3" t="inlineStr">
        <is>
          <t>Laptop (Ana)</t>
        </is>
      </c>
      <c r="D82" s="3" t="inlineStr">
        <is>
          <t>Same for Xero with dates DD/MM/YYYY</t>
        </is>
      </c>
      <c r="E82" s="3" t="inlineStr">
        <is>
          <t>Xero's manual journal columns; amounts negative for credits</t>
        </is>
      </c>
      <c r="F82" s="3" t="inlineStr">
        <is>
          <t>Not tested</t>
        </is>
      </c>
      <c r="G82" s="3" t="inlineStr"/>
      <c r="H82" s="3" t="inlineStr"/>
      <c r="I82" s="3" t="inlineStr"/>
    </row>
    <row r="83">
      <c r="A83" s="3" t="inlineStr">
        <is>
          <t>H99</t>
        </is>
      </c>
      <c r="B83" s="3" t="inlineStr">
        <is>
          <t>Exports</t>
        </is>
      </c>
      <c r="C83" s="3" t="inlineStr">
        <is>
          <t>Laptop (Ana)</t>
        </is>
      </c>
      <c r="D83" s="3" t="inlineStr">
        <is>
          <t>Payroll journal and register; expense claims; bank reconciliation</t>
        </is>
      </c>
      <c r="E83" s="3" t="inlineStr">
        <is>
          <t>Two files for payroll; one row per claim; one row per bank line</t>
        </is>
      </c>
      <c r="F83" s="3" t="inlineStr">
        <is>
          <t>Not tested</t>
        </is>
      </c>
      <c r="G83" s="3" t="inlineStr"/>
      <c r="H83" s="3" t="inlineStr"/>
      <c r="I83" s="3" t="inlineStr"/>
    </row>
  </sheetData>
  <autoFilter ref="A1:I83"/>
  <conditionalFormatting sqref="F2:F8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tested"</formula>
    </cfRule>
  </conditionalFormatting>
  <dataValidations count="1">
    <dataValidation sqref="F2:F83" showDropDown="0" showInputMessage="0" showErrorMessage="0" allowBlank="1" type="list">
      <formula1>"Pass,Fail,Blocked,Not tested"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4" t="inlineStr">
        <is>
          <t>Area</t>
        </is>
      </c>
      <c r="B1" s="4" t="inlineStr">
        <is>
          <t>Checks</t>
        </is>
      </c>
      <c r="C1" s="4" t="inlineStr">
        <is>
          <t>Pass</t>
        </is>
      </c>
      <c r="D1" s="4" t="inlineStr">
        <is>
          <t>Fail</t>
        </is>
      </c>
      <c r="E1" s="4" t="inlineStr">
        <is>
          <t>Blocked</t>
        </is>
      </c>
      <c r="F1" s="4" t="inlineStr">
        <is>
          <t>Not tested</t>
        </is>
      </c>
    </row>
    <row r="2">
      <c r="A2" t="inlineStr">
        <is>
          <t>People</t>
        </is>
      </c>
      <c r="B2">
        <f>COUNTIF(Tests!B:B,A2)</f>
        <v/>
      </c>
      <c r="C2">
        <f>COUNTIFS(Tests!B:B,A2,Tests!F:F,"Pass")</f>
        <v/>
      </c>
      <c r="D2">
        <f>COUNTIFS(Tests!B:B,A2,Tests!F:F,"Fail")</f>
        <v/>
      </c>
      <c r="E2">
        <f>COUNTIFS(Tests!B:B,A2,Tests!F:F,"Blocked")</f>
        <v/>
      </c>
      <c r="F2">
        <f>COUNTIFS(Tests!B:B,A2,Tests!F:F,"Not tested")</f>
        <v/>
      </c>
    </row>
    <row r="3">
      <c r="A3" t="inlineStr">
        <is>
          <t>Leave</t>
        </is>
      </c>
      <c r="B3">
        <f>COUNTIF(Tests!B:B,A3)</f>
        <v/>
      </c>
      <c r="C3">
        <f>COUNTIFS(Tests!B:B,A3,Tests!F:F,"Pass")</f>
        <v/>
      </c>
      <c r="D3">
        <f>COUNTIFS(Tests!B:B,A3,Tests!F:F,"Fail")</f>
        <v/>
      </c>
      <c r="E3">
        <f>COUNTIFS(Tests!B:B,A3,Tests!F:F,"Blocked")</f>
        <v/>
      </c>
      <c r="F3">
        <f>COUNTIFS(Tests!B:B,A3,Tests!F:F,"Not tested")</f>
        <v/>
      </c>
    </row>
    <row r="4">
      <c r="A4" t="inlineStr">
        <is>
          <t>Time clock</t>
        </is>
      </c>
      <c r="B4">
        <f>COUNTIF(Tests!B:B,A4)</f>
        <v/>
      </c>
      <c r="C4">
        <f>COUNTIFS(Tests!B:B,A4,Tests!F:F,"Pass")</f>
        <v/>
      </c>
      <c r="D4">
        <f>COUNTIFS(Tests!B:B,A4,Tests!F:F,"Fail")</f>
        <v/>
      </c>
      <c r="E4">
        <f>COUNTIFS(Tests!B:B,A4,Tests!F:F,"Blocked")</f>
        <v/>
      </c>
      <c r="F4">
        <f>COUNTIFS(Tests!B:B,A4,Tests!F:F,"Not tested")</f>
        <v/>
      </c>
    </row>
    <row r="5">
      <c r="A5" t="inlineStr">
        <is>
          <t>Alerts</t>
        </is>
      </c>
      <c r="B5">
        <f>COUNTIF(Tests!B:B,A5)</f>
        <v/>
      </c>
      <c r="C5">
        <f>COUNTIFS(Tests!B:B,A5,Tests!F:F,"Pass")</f>
        <v/>
      </c>
      <c r="D5">
        <f>COUNTIFS(Tests!B:B,A5,Tests!F:F,"Fail")</f>
        <v/>
      </c>
      <c r="E5">
        <f>COUNTIFS(Tests!B:B,A5,Tests!F:F,"Blocked")</f>
        <v/>
      </c>
      <c r="F5">
        <f>COUNTIFS(Tests!B:B,A5,Tests!F:F,"Not tested")</f>
        <v/>
      </c>
    </row>
    <row r="6">
      <c r="A6" t="inlineStr">
        <is>
          <t>Shifts</t>
        </is>
      </c>
      <c r="B6">
        <f>COUNTIF(Tests!B:B,A6)</f>
        <v/>
      </c>
      <c r="C6">
        <f>COUNTIFS(Tests!B:B,A6,Tests!F:F,"Pass")</f>
        <v/>
      </c>
      <c r="D6">
        <f>COUNTIFS(Tests!B:B,A6,Tests!F:F,"Fail")</f>
        <v/>
      </c>
      <c r="E6">
        <f>COUNTIFS(Tests!B:B,A6,Tests!F:F,"Blocked")</f>
        <v/>
      </c>
      <c r="F6">
        <f>COUNTIFS(Tests!B:B,A6,Tests!F:F,"Not tested")</f>
        <v/>
      </c>
    </row>
    <row r="7">
      <c r="A7" t="inlineStr">
        <is>
          <t>Roster</t>
        </is>
      </c>
      <c r="B7">
        <f>COUNTIF(Tests!B:B,A7)</f>
        <v/>
      </c>
      <c r="C7">
        <f>COUNTIFS(Tests!B:B,A7,Tests!F:F,"Pass")</f>
        <v/>
      </c>
      <c r="D7">
        <f>COUNTIFS(Tests!B:B,A7,Tests!F:F,"Fail")</f>
        <v/>
      </c>
      <c r="E7">
        <f>COUNTIFS(Tests!B:B,A7,Tests!F:F,"Blocked")</f>
        <v/>
      </c>
      <c r="F7">
        <f>COUNTIFS(Tests!B:B,A7,Tests!F:F,"Not tested")</f>
        <v/>
      </c>
    </row>
    <row r="8">
      <c r="A8" t="inlineStr">
        <is>
          <t>Swaps</t>
        </is>
      </c>
      <c r="B8">
        <f>COUNTIF(Tests!B:B,A8)</f>
        <v/>
      </c>
      <c r="C8">
        <f>COUNTIFS(Tests!B:B,A8,Tests!F:F,"Pass")</f>
        <v/>
      </c>
      <c r="D8">
        <f>COUNTIFS(Tests!B:B,A8,Tests!F:F,"Fail")</f>
        <v/>
      </c>
      <c r="E8">
        <f>COUNTIFS(Tests!B:B,A8,Tests!F:F,"Blocked")</f>
        <v/>
      </c>
      <c r="F8">
        <f>COUNTIFS(Tests!B:B,A8,Tests!F:F,"Not tested")</f>
        <v/>
      </c>
    </row>
    <row r="9">
      <c r="A9" t="inlineStr">
        <is>
          <t>Time sheets</t>
        </is>
      </c>
      <c r="B9">
        <f>COUNTIF(Tests!B:B,A9)</f>
        <v/>
      </c>
      <c r="C9">
        <f>COUNTIFS(Tests!B:B,A9,Tests!F:F,"Pass")</f>
        <v/>
      </c>
      <c r="D9">
        <f>COUNTIFS(Tests!B:B,A9,Tests!F:F,"Fail")</f>
        <v/>
      </c>
      <c r="E9">
        <f>COUNTIFS(Tests!B:B,A9,Tests!F:F,"Blocked")</f>
        <v/>
      </c>
      <c r="F9">
        <f>COUNTIFS(Tests!B:B,A9,Tests!F:F,"Not tested")</f>
        <v/>
      </c>
    </row>
    <row r="10">
      <c r="A10" t="inlineStr">
        <is>
          <t>Payroll</t>
        </is>
      </c>
      <c r="B10">
        <f>COUNTIF(Tests!B:B,A10)</f>
        <v/>
      </c>
      <c r="C10">
        <f>COUNTIFS(Tests!B:B,A10,Tests!F:F,"Pass")</f>
        <v/>
      </c>
      <c r="D10">
        <f>COUNTIFS(Tests!B:B,A10,Tests!F:F,"Fail")</f>
        <v/>
      </c>
      <c r="E10">
        <f>COUNTIFS(Tests!B:B,A10,Tests!F:F,"Blocked")</f>
        <v/>
      </c>
      <c r="F10">
        <f>COUNTIFS(Tests!B:B,A10,Tests!F:F,"Not tested")</f>
        <v/>
      </c>
    </row>
    <row r="11">
      <c r="A11" t="inlineStr">
        <is>
          <t>Bank</t>
        </is>
      </c>
      <c r="B11">
        <f>COUNTIF(Tests!B:B,A11)</f>
        <v/>
      </c>
      <c r="C11">
        <f>COUNTIFS(Tests!B:B,A11,Tests!F:F,"Pass")</f>
        <v/>
      </c>
      <c r="D11">
        <f>COUNTIFS(Tests!B:B,A11,Tests!F:F,"Fail")</f>
        <v/>
      </c>
      <c r="E11">
        <f>COUNTIFS(Tests!B:B,A11,Tests!F:F,"Blocked")</f>
        <v/>
      </c>
      <c r="F11">
        <f>COUNTIFS(Tests!B:B,A11,Tests!F:F,"Not tested")</f>
        <v/>
      </c>
    </row>
    <row r="12">
      <c r="A12" t="inlineStr">
        <is>
          <t>Card fees</t>
        </is>
      </c>
      <c r="B12">
        <f>COUNTIF(Tests!B:B,A12)</f>
        <v/>
      </c>
      <c r="C12">
        <f>COUNTIFS(Tests!B:B,A12,Tests!F:F,"Pass")</f>
        <v/>
      </c>
      <c r="D12">
        <f>COUNTIFS(Tests!B:B,A12,Tests!F:F,"Fail")</f>
        <v/>
      </c>
      <c r="E12">
        <f>COUNTIFS(Tests!B:B,A12,Tests!F:F,"Blocked")</f>
        <v/>
      </c>
      <c r="F12">
        <f>COUNTIFS(Tests!B:B,A12,Tests!F:F,"Not tested")</f>
        <v/>
      </c>
    </row>
    <row r="13">
      <c r="A13" t="inlineStr">
        <is>
          <t>Payouts</t>
        </is>
      </c>
      <c r="B13">
        <f>COUNTIF(Tests!B:B,A13)</f>
        <v/>
      </c>
      <c r="C13">
        <f>COUNTIFS(Tests!B:B,A13,Tests!F:F,"Pass")</f>
        <v/>
      </c>
      <c r="D13">
        <f>COUNTIFS(Tests!B:B,A13,Tests!F:F,"Fail")</f>
        <v/>
      </c>
      <c r="E13">
        <f>COUNTIFS(Tests!B:B,A13,Tests!F:F,"Blocked")</f>
        <v/>
      </c>
      <c r="F13">
        <f>COUNTIFS(Tests!B:B,A13,Tests!F:F,"Not tested")</f>
        <v/>
      </c>
    </row>
    <row r="14">
      <c r="A14" t="inlineStr">
        <is>
          <t>Vendor statements</t>
        </is>
      </c>
      <c r="B14">
        <f>COUNTIF(Tests!B:B,A14)</f>
        <v/>
      </c>
      <c r="C14">
        <f>COUNTIFS(Tests!B:B,A14,Tests!F:F,"Pass")</f>
        <v/>
      </c>
      <c r="D14">
        <f>COUNTIFS(Tests!B:B,A14,Tests!F:F,"Fail")</f>
        <v/>
      </c>
      <c r="E14">
        <f>COUNTIFS(Tests!B:B,A14,Tests!F:F,"Blocked")</f>
        <v/>
      </c>
      <c r="F14">
        <f>COUNTIFS(Tests!B:B,A14,Tests!F:F,"Not tested")</f>
        <v/>
      </c>
    </row>
    <row r="15">
      <c r="A15" t="inlineStr">
        <is>
          <t>Books</t>
        </is>
      </c>
      <c r="B15">
        <f>COUNTIF(Tests!B:B,A15)</f>
        <v/>
      </c>
      <c r="C15">
        <f>COUNTIFS(Tests!B:B,A15,Tests!F:F,"Pass")</f>
        <v/>
      </c>
      <c r="D15">
        <f>COUNTIFS(Tests!B:B,A15,Tests!F:F,"Fail")</f>
        <v/>
      </c>
      <c r="E15">
        <f>COUNTIFS(Tests!B:B,A15,Tests!F:F,"Blocked")</f>
        <v/>
      </c>
      <c r="F15">
        <f>COUNTIFS(Tests!B:B,A15,Tests!F:F,"Not tested")</f>
        <v/>
      </c>
    </row>
    <row r="16">
      <c r="A16" t="inlineStr">
        <is>
          <t>Statements</t>
        </is>
      </c>
      <c r="B16">
        <f>COUNTIF(Tests!B:B,A16)</f>
        <v/>
      </c>
      <c r="C16">
        <f>COUNTIFS(Tests!B:B,A16,Tests!F:F,"Pass")</f>
        <v/>
      </c>
      <c r="D16">
        <f>COUNTIFS(Tests!B:B,A16,Tests!F:F,"Fail")</f>
        <v/>
      </c>
      <c r="E16">
        <f>COUNTIFS(Tests!B:B,A16,Tests!F:F,"Blocked")</f>
        <v/>
      </c>
      <c r="F16">
        <f>COUNTIFS(Tests!B:B,A16,Tests!F:F,"Not tested")</f>
        <v/>
      </c>
    </row>
    <row r="17">
      <c r="A17" t="inlineStr">
        <is>
          <t>Returns</t>
        </is>
      </c>
      <c r="B17">
        <f>COUNTIF(Tests!B:B,A17)</f>
        <v/>
      </c>
      <c r="C17">
        <f>COUNTIFS(Tests!B:B,A17,Tests!F:F,"Pass")</f>
        <v/>
      </c>
      <c r="D17">
        <f>COUNTIFS(Tests!B:B,A17,Tests!F:F,"Fail")</f>
        <v/>
      </c>
      <c r="E17">
        <f>COUNTIFS(Tests!B:B,A17,Tests!F:F,"Blocked")</f>
        <v/>
      </c>
      <c r="F17">
        <f>COUNTIFS(Tests!B:B,A17,Tests!F:F,"Not tested")</f>
        <v/>
      </c>
    </row>
    <row r="18">
      <c r="A18" t="inlineStr">
        <is>
          <t>Exports</t>
        </is>
      </c>
      <c r="B18">
        <f>COUNTIF(Tests!B:B,A18)</f>
        <v/>
      </c>
      <c r="C18">
        <f>COUNTIFS(Tests!B:B,A18,Tests!F:F,"Pass")</f>
        <v/>
      </c>
      <c r="D18">
        <f>COUNTIFS(Tests!B:B,A18,Tests!F:F,"Fail")</f>
        <v/>
      </c>
      <c r="E18">
        <f>COUNTIFS(Tests!B:B,A18,Tests!F:F,"Blocked")</f>
        <v/>
      </c>
      <c r="F18">
        <f>COUNTIFS(Tests!B:B,A18,Tests!F:F,"Not tested")</f>
        <v/>
      </c>
    </row>
    <row r="19">
      <c r="A19" s="5" t="inlineStr">
        <is>
          <t>All</t>
        </is>
      </c>
      <c r="B19" s="5">
        <f>SUM(B2:B18)</f>
        <v/>
      </c>
      <c r="C19" s="5">
        <f>SUM(C2:C18)</f>
        <v/>
      </c>
      <c r="D19" s="5">
        <f>SUM(D2:D18)</f>
        <v/>
      </c>
      <c r="E19" s="5">
        <f>SUM(E2:E18)</f>
        <v/>
      </c>
      <c r="F19" s="5">
        <f>SUM(F2:F18)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2026-10-10T19:03:54Z</dcterms:created>
  <dcterms:modified xsi:type="dcterms:W3CDTF">2026-10-10T19:03:54Z</dcterms:modified>
</cp:coreProperties>
</file>