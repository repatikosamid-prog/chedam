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Before you start" sheetId="1" state="visible" r:id="rId1"/>
    <sheet name="Tests" sheetId="2" state="visible" r:id="rId2"/>
    <sheet name="Summary" sheetId="3" state="visible" r:id="rId3"/>
  </sheets>
  <definedNames>
    <definedName name="_xlnm._FilterDatabase" localSheetId="1" hidden="1">'Tests'!$A$1:$I$30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6F4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Chedam manual tests: P5 Connect and enrich (grows with each build step; tested in the next test week)</t>
        </is>
      </c>
    </row>
    <row r="2">
      <c r="A2" t="inlineStr"/>
    </row>
    <row r="3">
      <c r="A3" t="inlineStr">
        <is>
          <t>Laptop and iPhone; Android later. Linked card tests need a Square sandbox account and access token (or a Square Terminal).</t>
        </is>
      </c>
    </row>
    <row r="4">
      <c r="A4" t="inlineStr">
        <is>
          <t>Sample people: Demo Owner, Mira Manager, Ana Accountant, Cal Cashier, Sam Staff.</t>
        </is>
      </c>
    </row>
    <row r="5">
      <c r="A5" t="inlineStr">
        <is>
          <t>For each row: do what it says, compare with 'What should happen', choose Pass / Fail / Blocked, and write what happened when it is not a Pass.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60" customWidth="1" min="4" max="4"/>
    <col width="60" customWidth="1" min="5" max="5"/>
    <col width="13" customWidth="1" min="6" max="6"/>
    <col width="45" customWidth="1" min="7" max="7"/>
    <col width="12" customWidth="1" min="8" max="8"/>
    <col width="12" customWidth="1" min="9" max="9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Device / needs</t>
        </is>
      </c>
      <c r="D1" s="2" t="inlineStr">
        <is>
          <t>What to do</t>
        </is>
      </c>
      <c r="E1" s="2" t="inlineStr">
        <is>
          <t>What should happen</t>
        </is>
      </c>
      <c r="F1" s="2" t="inlineStr">
        <is>
          <t>Result</t>
        </is>
      </c>
      <c r="G1" s="2" t="inlineStr">
        <is>
          <t>Notes (what happened)</t>
        </is>
      </c>
      <c r="H1" s="2" t="inlineStr">
        <is>
          <t>Tester</t>
        </is>
      </c>
      <c r="I1" s="2" t="inlineStr">
        <is>
          <t>Date</t>
        </is>
      </c>
    </row>
    <row r="2">
      <c r="A2" s="3" t="inlineStr">
        <is>
          <t>C01</t>
        </is>
      </c>
      <c r="B2" s="3" t="inlineStr">
        <is>
          <t>Card processor</t>
        </is>
      </c>
      <c r="C2" s="3" t="inlineStr">
        <is>
          <t>Laptop (owner)</t>
        </is>
      </c>
      <c r="D2" s="3" t="inlineStr">
        <is>
          <t>Home → Card processor; paste a wrong token, Connect</t>
        </is>
      </c>
      <c r="E2" s="3" t="inlineStr">
        <is>
          <t>Refused: Square says the token is not valid</t>
        </is>
      </c>
      <c r="F2" s="3" t="inlineStr">
        <is>
          <t>Not tested</t>
        </is>
      </c>
      <c r="G2" s="3" t="inlineStr"/>
      <c r="H2" s="3" t="inlineStr"/>
      <c r="I2" s="3" t="inlineStr"/>
    </row>
    <row r="3">
      <c r="A3" s="3" t="inlineStr">
        <is>
          <t>C02</t>
        </is>
      </c>
      <c r="B3" s="3" t="inlineStr">
        <is>
          <t>Card processor</t>
        </is>
      </c>
      <c r="C3" s="3" t="inlineStr">
        <is>
          <t>Laptop (owner)</t>
        </is>
      </c>
      <c r="D3" s="3" t="inlineStr">
        <is>
          <t>Paste the Square sandbox access token (Sandbox), Connect</t>
        </is>
      </c>
      <c r="E3" s="3" t="inlineStr">
        <is>
          <t>Connected: the account name, the main location chosen; the token is not shown again</t>
        </is>
      </c>
      <c r="F3" s="3" t="inlineStr">
        <is>
          <t>Not tested</t>
        </is>
      </c>
      <c r="G3" s="3" t="inlineStr"/>
      <c r="H3" s="3" t="inlineStr"/>
      <c r="I3" s="3" t="inlineStr"/>
    </row>
    <row r="4">
      <c r="A4" s="3" t="inlineStr">
        <is>
          <t>C03</t>
        </is>
      </c>
      <c r="B4" s="3" t="inlineStr">
        <is>
          <t>Card processor</t>
        </is>
      </c>
      <c r="C4" s="3" t="inlineStr">
        <is>
          <t>Laptop (manager)</t>
        </is>
      </c>
      <c r="D4" s="3" t="inlineStr">
        <is>
          <t>Look for Card processor on Home</t>
        </is>
      </c>
      <c r="E4" s="3" t="inlineStr">
        <is>
          <t>No tile (owner only)</t>
        </is>
      </c>
      <c r="F4" s="3" t="inlineStr">
        <is>
          <t>Not tested</t>
        </is>
      </c>
      <c r="G4" s="3" t="inlineStr"/>
      <c r="H4" s="3" t="inlineStr"/>
      <c r="I4" s="3" t="inlineStr"/>
    </row>
    <row r="5">
      <c r="A5" s="3" t="inlineStr">
        <is>
          <t>C04</t>
        </is>
      </c>
      <c r="B5" s="3" t="inlineStr">
        <is>
          <t>Card processor</t>
        </is>
      </c>
      <c r="C5" s="3" t="inlineStr">
        <is>
          <t>Laptop (owner)</t>
        </is>
      </c>
      <c r="D5" s="3" t="inlineStr">
        <is>
          <t>Pair a terminal: name 'Front terminal', till = the iPhone till; Get a code</t>
        </is>
      </c>
      <c r="E5" s="3" t="inlineStr">
        <is>
          <t>A 6-character code and how to type it on the terminal</t>
        </is>
      </c>
      <c r="F5" s="3" t="inlineStr">
        <is>
          <t>Not tested</t>
        </is>
      </c>
      <c r="G5" s="3" t="inlineStr"/>
      <c r="H5" s="3" t="inlineStr"/>
      <c r="I5" s="3" t="inlineStr"/>
    </row>
    <row r="6">
      <c r="A6" s="3" t="inlineStr">
        <is>
          <t>C05</t>
        </is>
      </c>
      <c r="B6" s="3" t="inlineStr">
        <is>
          <t>Card processor</t>
        </is>
      </c>
      <c r="C6" s="3" t="inlineStr">
        <is>
          <t>Square Terminal (or the sandbox device)</t>
        </is>
      </c>
      <c r="D6" s="3" t="inlineStr">
        <is>
          <t>Sign in → Use a device code → type it</t>
        </is>
      </c>
      <c r="E6" s="3" t="inlineStr">
        <is>
          <t>Within seconds the screen says Paired</t>
        </is>
      </c>
      <c r="F6" s="3" t="inlineStr">
        <is>
          <t>Not tested</t>
        </is>
      </c>
      <c r="G6" s="3" t="inlineStr"/>
      <c r="H6" s="3" t="inlineStr"/>
      <c r="I6" s="3" t="inlineStr"/>
    </row>
    <row r="7">
      <c r="A7" s="3" t="inlineStr">
        <is>
          <t>C06</t>
        </is>
      </c>
      <c r="B7" s="3" t="inlineStr">
        <is>
          <t>Card processor</t>
        </is>
      </c>
      <c r="C7" s="3" t="inlineStr">
        <is>
          <t>Laptop (owner)</t>
        </is>
      </c>
      <c r="D7" s="3" t="inlineStr">
        <is>
          <t>Link the terminal to another till</t>
        </is>
      </c>
      <c r="E7" s="3" t="inlineStr">
        <is>
          <t>Saved; the first till no longer has a terminal</t>
        </is>
      </c>
      <c r="F7" s="3" t="inlineStr">
        <is>
          <t>Not tested</t>
        </is>
      </c>
      <c r="G7" s="3" t="inlineStr"/>
      <c r="H7" s="3" t="inlineStr"/>
      <c r="I7" s="3" t="inlineStr"/>
    </row>
    <row r="8">
      <c r="A8" s="3" t="inlineStr">
        <is>
          <t>C07</t>
        </is>
      </c>
      <c r="B8" s="3" t="inlineStr">
        <is>
          <t>Card processor</t>
        </is>
      </c>
      <c r="C8" s="3" t="inlineStr">
        <is>
          <t>Laptop (owner)</t>
        </is>
      </c>
      <c r="D8" s="3" t="inlineStr">
        <is>
          <t>Settings → Export data; Activity log for the processor</t>
        </is>
      </c>
      <c r="E8" s="3" t="inlineStr">
        <is>
          <t>No token anywhere</t>
        </is>
      </c>
      <c r="F8" s="3" t="inlineStr">
        <is>
          <t>Not tested</t>
        </is>
      </c>
      <c r="G8" s="3" t="inlineStr"/>
      <c r="H8" s="3" t="inlineStr"/>
      <c r="I8" s="3" t="inlineStr"/>
    </row>
    <row r="9">
      <c r="A9" s="3" t="inlineStr">
        <is>
          <t>C08</t>
        </is>
      </c>
      <c r="B9" s="3" t="inlineStr">
        <is>
          <t>Card processor</t>
        </is>
      </c>
      <c r="C9" s="3" t="inlineStr">
        <is>
          <t>Laptop (owner)</t>
        </is>
      </c>
      <c r="D9" s="3" t="inlineStr">
        <is>
          <t>Disconnect</t>
        </is>
      </c>
      <c r="E9" s="3" t="inlineStr">
        <is>
          <t>Card on every till goes back to keying in the amount</t>
        </is>
      </c>
      <c r="F9" s="3" t="inlineStr">
        <is>
          <t>Not tested</t>
        </is>
      </c>
      <c r="G9" s="3" t="inlineStr"/>
      <c r="H9" s="3" t="inlineStr"/>
      <c r="I9" s="3" t="inlineStr"/>
    </row>
    <row r="10">
      <c r="A10" s="3" t="inlineStr">
        <is>
          <t>C10</t>
        </is>
      </c>
      <c r="B10" s="3" t="inlineStr">
        <is>
          <t>Linked card</t>
        </is>
      </c>
      <c r="C10" s="3" t="inlineStr">
        <is>
          <t>Till with a terminal</t>
        </is>
      </c>
      <c r="D10" s="3" t="inlineStr">
        <is>
          <t>Sell an item → Pay → Card → Send to the terminal</t>
        </is>
      </c>
      <c r="E10" s="3" t="inlineStr">
        <is>
          <t>The terminal shows the amount; the till says Waiting for the card</t>
        </is>
      </c>
      <c r="F10" s="3" t="inlineStr">
        <is>
          <t>Not tested</t>
        </is>
      </c>
      <c r="G10" s="3" t="inlineStr"/>
      <c r="H10" s="3" t="inlineStr"/>
      <c r="I10" s="3" t="inlineStr"/>
    </row>
    <row r="11">
      <c r="A11" s="3" t="inlineStr">
        <is>
          <t>C11</t>
        </is>
      </c>
      <c r="B11" s="3" t="inlineStr">
        <is>
          <t>Linked card</t>
        </is>
      </c>
      <c r="C11" s="3" t="inlineStr">
        <is>
          <t>Terminal</t>
        </is>
      </c>
      <c r="D11" s="3" t="inlineStr">
        <is>
          <t>Pay with the sandbox card (or tap a card)</t>
        </is>
      </c>
      <c r="E11" s="3" t="inlineStr">
        <is>
          <t>Within seconds the till adds Card ****1111 · terminal; the sale completes; the receipt shows the card</t>
        </is>
      </c>
      <c r="F11" s="3" t="inlineStr">
        <is>
          <t>Not tested</t>
        </is>
      </c>
      <c r="G11" s="3" t="inlineStr"/>
      <c r="H11" s="3" t="inlineStr"/>
      <c r="I11" s="3" t="inlineStr"/>
    </row>
    <row r="12">
      <c r="A12" s="3" t="inlineStr">
        <is>
          <t>C12</t>
        </is>
      </c>
      <c r="B12" s="3" t="inlineStr">
        <is>
          <t>Linked card</t>
        </is>
      </c>
      <c r="C12" s="3" t="inlineStr">
        <is>
          <t>Till</t>
        </is>
      </c>
      <c r="D12" s="3" t="inlineStr">
        <is>
          <t>Card → Send → Cancel on the till</t>
        </is>
      </c>
      <c r="E12" s="3" t="inlineStr">
        <is>
          <t>The terminal goes back to idle; the till says Cancelled; Try again works</t>
        </is>
      </c>
      <c r="F12" s="3" t="inlineStr">
        <is>
          <t>Not tested</t>
        </is>
      </c>
      <c r="G12" s="3" t="inlineStr"/>
      <c r="H12" s="3" t="inlineStr"/>
      <c r="I12" s="3" t="inlineStr"/>
    </row>
    <row r="13">
      <c r="A13" s="3" t="inlineStr">
        <is>
          <t>C13</t>
        </is>
      </c>
      <c r="B13" s="3" t="inlineStr">
        <is>
          <t>Linked card</t>
        </is>
      </c>
      <c r="C13" s="3" t="inlineStr">
        <is>
          <t>Terminal</t>
        </is>
      </c>
      <c r="D13" s="3" t="inlineStr">
        <is>
          <t>Card → Send; cancel on the terminal</t>
        </is>
      </c>
      <c r="E13" s="3" t="inlineStr">
        <is>
          <t>The till says the customer cancelled; Key it in instead opens the old dialog</t>
        </is>
      </c>
      <c r="F13" s="3" t="inlineStr">
        <is>
          <t>Not tested</t>
        </is>
      </c>
      <c r="G13" s="3" t="inlineStr"/>
      <c r="H13" s="3" t="inlineStr"/>
      <c r="I13" s="3" t="inlineStr"/>
    </row>
    <row r="14">
      <c r="A14" s="3" t="inlineStr">
        <is>
          <t>C14</t>
        </is>
      </c>
      <c r="B14" s="3" t="inlineStr">
        <is>
          <t>Linked card</t>
        </is>
      </c>
      <c r="C14" s="3" t="inlineStr">
        <is>
          <t>Till</t>
        </is>
      </c>
      <c r="D14" s="3" t="inlineStr">
        <is>
          <t>Split: Card $5.00 on the terminal, the rest cash</t>
        </is>
      </c>
      <c r="E14" s="3" t="inlineStr">
        <is>
          <t>Both payments on the receipt</t>
        </is>
      </c>
      <c r="F14" s="3" t="inlineStr">
        <is>
          <t>Not tested</t>
        </is>
      </c>
      <c r="G14" s="3" t="inlineStr"/>
      <c r="H14" s="3" t="inlineStr"/>
      <c r="I14" s="3" t="inlineStr"/>
    </row>
    <row r="15">
      <c r="A15" s="3" t="inlineStr">
        <is>
          <t>C15</t>
        </is>
      </c>
      <c r="B15" s="3" t="inlineStr">
        <is>
          <t>Linked card</t>
        </is>
      </c>
      <c r="C15" s="3" t="inlineStr">
        <is>
          <t>Till</t>
        </is>
      </c>
      <c r="D15" s="3" t="inlineStr">
        <is>
          <t>Card → Send, pay on the terminal, then reload the page before the sale completes; press Pay</t>
        </is>
      </c>
      <c r="E15" s="3" t="inlineStr">
        <is>
          <t>The card payment is back in the payments (a note says so); the sale completes without charging again</t>
        </is>
      </c>
      <c r="F15" s="3" t="inlineStr">
        <is>
          <t>Not tested</t>
        </is>
      </c>
      <c r="G15" s="3" t="inlineStr"/>
      <c r="H15" s="3" t="inlineStr"/>
      <c r="I15" s="3" t="inlineStr"/>
    </row>
    <row r="16">
      <c r="A16" s="3" t="inlineStr">
        <is>
          <t>C16</t>
        </is>
      </c>
      <c r="B16" s="3" t="inlineStr">
        <is>
          <t>Linked card</t>
        </is>
      </c>
      <c r="C16" s="3" t="inlineStr">
        <is>
          <t>Till</t>
        </is>
      </c>
      <c r="D16" s="3" t="inlineStr">
        <is>
          <t>Switch the router's internet off; Card</t>
        </is>
      </c>
      <c r="E16" s="3" t="inlineStr">
        <is>
          <t>The till shows Could not reach the terminal → Key it in instead works</t>
        </is>
      </c>
      <c r="F16" s="3" t="inlineStr">
        <is>
          <t>Not tested</t>
        </is>
      </c>
      <c r="G16" s="3" t="inlineStr"/>
      <c r="H16" s="3" t="inlineStr"/>
      <c r="I16" s="3" t="inlineStr"/>
    </row>
    <row r="17">
      <c r="A17" s="3" t="inlineStr">
        <is>
          <t>C17</t>
        </is>
      </c>
      <c r="B17" s="3" t="inlineStr">
        <is>
          <t>Linked card</t>
        </is>
      </c>
      <c r="C17" s="3" t="inlineStr">
        <is>
          <t>Till</t>
        </is>
      </c>
      <c r="D17" s="3" t="inlineStr">
        <is>
          <t>Training mode on; Card</t>
        </is>
      </c>
      <c r="E17" s="3" t="inlineStr">
        <is>
          <t>The old dialog (training never charges a card)</t>
        </is>
      </c>
      <c r="F17" s="3" t="inlineStr">
        <is>
          <t>Not tested</t>
        </is>
      </c>
      <c r="G17" s="3" t="inlineStr"/>
      <c r="H17" s="3" t="inlineStr"/>
      <c r="I17" s="3" t="inlineStr"/>
    </row>
    <row r="18">
      <c r="A18" s="3" t="inlineStr">
        <is>
          <t>C18</t>
        </is>
      </c>
      <c r="B18" s="3" t="inlineStr">
        <is>
          <t>Linked card</t>
        </is>
      </c>
      <c r="C18" s="3" t="inlineStr">
        <is>
          <t>Till without a terminal</t>
        </is>
      </c>
      <c r="D18" s="3" t="inlineStr">
        <is>
          <t>Card</t>
        </is>
      </c>
      <c r="E18" s="3" t="inlineStr">
        <is>
          <t>The old dialog: key the amount in</t>
        </is>
      </c>
      <c r="F18" s="3" t="inlineStr">
        <is>
          <t>Not tested</t>
        </is>
      </c>
      <c r="G18" s="3" t="inlineStr"/>
      <c r="H18" s="3" t="inlineStr"/>
      <c r="I18" s="3" t="inlineStr"/>
    </row>
    <row r="19">
      <c r="A19" s="3" t="inlineStr">
        <is>
          <t>C20</t>
        </is>
      </c>
      <c r="B19" s="3" t="inlineStr">
        <is>
          <t>Linked refund</t>
        </is>
      </c>
      <c r="C19" s="3" t="inlineStr">
        <is>
          <t>Till</t>
        </is>
      </c>
      <c r="D19" s="3" t="inlineStr">
        <is>
          <t>Sell 2 items paid on the terminal (Visa); Sell → Return → 1 item → Back to the card</t>
        </is>
      </c>
      <c r="E19" s="3" t="inlineStr">
        <is>
          <t>Refunded without the card; the return slip shows Card ****… · back to the card; Square shows the refund</t>
        </is>
      </c>
      <c r="F19" s="3" t="inlineStr">
        <is>
          <t>Not tested</t>
        </is>
      </c>
      <c r="G19" s="3" t="inlineStr"/>
      <c r="H19" s="3" t="inlineStr"/>
      <c r="I19" s="3" t="inlineStr"/>
    </row>
    <row r="20">
      <c r="A20" s="3" t="inlineStr">
        <is>
          <t>C21</t>
        </is>
      </c>
      <c r="B20" s="3" t="inlineStr">
        <is>
          <t>Linked refund</t>
        </is>
      </c>
      <c r="C20" s="3" t="inlineStr">
        <is>
          <t>Till + terminal</t>
        </is>
      </c>
      <c r="D20" s="3" t="inlineStr">
        <is>
          <t>A sale paid by debit (Interac) on the terminal; return it → Back to the card</t>
        </is>
      </c>
      <c r="E20" s="3" t="inlineStr">
        <is>
          <t>The till says: Customer, tap or insert the card; after the tap the return completes</t>
        </is>
      </c>
      <c r="F20" s="3" t="inlineStr">
        <is>
          <t>Not tested</t>
        </is>
      </c>
      <c r="G20" s="3" t="inlineStr"/>
      <c r="H20" s="3" t="inlineStr"/>
      <c r="I20" s="3" t="inlineStr"/>
    </row>
    <row r="21">
      <c r="A21" s="3" t="inlineStr">
        <is>
          <t>C22</t>
        </is>
      </c>
      <c r="B21" s="3" t="inlineStr">
        <is>
          <t>Linked refund</t>
        </is>
      </c>
      <c r="C21" s="3" t="inlineStr">
        <is>
          <t>Till</t>
        </is>
      </c>
      <c r="D21" s="3" t="inlineStr">
        <is>
          <t>Start a return Back to the card, then reload the page and do the same return again</t>
        </is>
      </c>
      <c r="E21" s="3" t="inlineStr">
        <is>
          <t>The refund already made comes back (no second refund in Square)</t>
        </is>
      </c>
      <c r="F21" s="3" t="inlineStr">
        <is>
          <t>Not tested</t>
        </is>
      </c>
      <c r="G21" s="3" t="inlineStr"/>
      <c r="H21" s="3" t="inlineStr"/>
      <c r="I21" s="3" t="inlineStr"/>
    </row>
    <row r="22">
      <c r="A22" s="3" t="inlineStr">
        <is>
          <t>C23</t>
        </is>
      </c>
      <c r="B22" s="3" t="inlineStr">
        <is>
          <t>Linked void</t>
        </is>
      </c>
      <c r="C22" s="3" t="inlineStr">
        <is>
          <t>Till (manager)</t>
        </is>
      </c>
      <c r="D22" s="3" t="inlineStr">
        <is>
          <t>Void the last sale that was paid on the terminal</t>
        </is>
      </c>
      <c r="E22" s="3" t="inlineStr">
        <is>
          <t>Asks first; the money goes back to the card; then the sale is voided</t>
        </is>
      </c>
      <c r="F22" s="3" t="inlineStr">
        <is>
          <t>Not tested</t>
        </is>
      </c>
      <c r="G22" s="3" t="inlineStr"/>
      <c r="H22" s="3" t="inlineStr"/>
      <c r="I22" s="3" t="inlineStr"/>
    </row>
    <row r="23">
      <c r="A23" s="3" t="inlineStr">
        <is>
          <t>C24</t>
        </is>
      </c>
      <c r="B23" s="3" t="inlineStr">
        <is>
          <t>Unused payment</t>
        </is>
      </c>
      <c r="C23" s="3" t="inlineStr">
        <is>
          <t>Till + laptop (manager)</t>
        </is>
      </c>
      <c r="D23" s="3" t="inlineStr">
        <is>
          <t>Card → Send, pay on the terminal, then Clear sale (OK); after 15 minutes open Sales</t>
        </is>
      </c>
      <c r="E23" s="3" t="inlineStr">
        <is>
          <t>Card payments taken on the terminal with no sale: the payment → Refund to the card</t>
        </is>
      </c>
      <c r="F23" s="3" t="inlineStr">
        <is>
          <t>Not tested</t>
        </is>
      </c>
      <c r="G23" s="3" t="inlineStr"/>
      <c r="H23" s="3" t="inlineStr"/>
      <c r="I23" s="3" t="inlineStr"/>
    </row>
    <row r="24">
      <c r="A24" s="3" t="inlineStr">
        <is>
          <t>C25</t>
        </is>
      </c>
      <c r="B24" s="3" t="inlineStr">
        <is>
          <t>Fees</t>
        </is>
      </c>
      <c r="C24" s="3" t="inlineStr">
        <is>
          <t>Laptop (accountant)</t>
        </is>
      </c>
      <c r="D24" s="3" t="inlineStr">
        <is>
          <t>Fees and statements → Card fees → Get fees and payouts now</t>
        </is>
      </c>
      <c r="E24" s="3" t="inlineStr">
        <is>
          <t>From the linked card processor: the fees; payouts listed with their dates</t>
        </is>
      </c>
      <c r="F24" s="3" t="inlineStr">
        <is>
          <t>Not tested</t>
        </is>
      </c>
      <c r="G24" s="3" t="inlineStr"/>
      <c r="H24" s="3" t="inlineStr"/>
      <c r="I24" s="3" t="inlineStr"/>
    </row>
    <row r="25">
      <c r="A25" s="3" t="inlineStr">
        <is>
          <t>D01</t>
        </is>
      </c>
      <c r="B25" s="3" t="inlineStr">
        <is>
          <t>Cloud drive</t>
        </is>
      </c>
      <c r="C25" s="3" t="inlineStr">
        <is>
          <t>Laptop (owner)</t>
        </is>
      </c>
      <c r="D25" s="3" t="inlineStr">
        <is>
          <t>Home → Cloud drive → Google Drive → Enter the client ID and secret → Save</t>
        </is>
      </c>
      <c r="E25" s="3" t="inlineStr">
        <is>
          <t>App registration: client ID 1234…; the secret is not shown</t>
        </is>
      </c>
      <c r="F25" s="3" t="inlineStr">
        <is>
          <t>Not tested</t>
        </is>
      </c>
      <c r="G25" s="3" t="inlineStr"/>
      <c r="H25" s="3" t="inlineStr"/>
      <c r="I25" s="3" t="inlineStr"/>
    </row>
    <row r="26">
      <c r="A26" s="3" t="inlineStr">
        <is>
          <t>D02</t>
        </is>
      </c>
      <c r="B26" s="3" t="inlineStr">
        <is>
          <t>Cloud drive</t>
        </is>
      </c>
      <c r="C26" s="3" t="inlineStr">
        <is>
          <t>Laptop (owner) + phone</t>
        </is>
      </c>
      <c r="D26" s="3" t="inlineStr">
        <is>
          <t>Connect Google Drive; on the phone open google.com/device, type the code, allow</t>
        </is>
      </c>
      <c r="E26" s="3" t="inlineStr">
        <is>
          <t>Within seconds the laptop says Google Drive is connected, with the owner's email</t>
        </is>
      </c>
      <c r="F26" s="3" t="inlineStr">
        <is>
          <t>Not tested</t>
        </is>
      </c>
      <c r="G26" s="3" t="inlineStr"/>
      <c r="H26" s="3" t="inlineStr"/>
      <c r="I26" s="3" t="inlineStr"/>
    </row>
    <row r="27">
      <c r="A27" s="3" t="inlineStr">
        <is>
          <t>D03</t>
        </is>
      </c>
      <c r="B27" s="3" t="inlineStr">
        <is>
          <t>Cloud drive</t>
        </is>
      </c>
      <c r="C27" s="3" t="inlineStr">
        <is>
          <t>Laptop (owner)</t>
        </is>
      </c>
      <c r="D27" s="3" t="inlineStr">
        <is>
          <t>Backups → Back up now; then Cloud drive → Upload now</t>
        </is>
      </c>
      <c r="E27" s="3" t="inlineStr">
        <is>
          <t>Last backup copied: chedam-…db.gz.age; in Google Drive a 'Chedam' folder has the backup and its .keys/.ca/.sha256</t>
        </is>
      </c>
      <c r="F27" s="3" t="inlineStr">
        <is>
          <t>Not tested</t>
        </is>
      </c>
      <c r="G27" s="3" t="inlineStr"/>
      <c r="H27" s="3" t="inlineStr"/>
      <c r="I27" s="3" t="inlineStr"/>
    </row>
    <row r="28">
      <c r="A28" s="3" t="inlineStr">
        <is>
          <t>D04</t>
        </is>
      </c>
      <c r="B28" s="3" t="inlineStr">
        <is>
          <t>Cloud drive</t>
        </is>
      </c>
      <c r="C28" s="3" t="inlineStr">
        <is>
          <t>Google account</t>
        </is>
      </c>
      <c r="D28" s="3" t="inlineStr">
        <is>
          <t>Remove Chedam's access in the Google account's security page; next upload</t>
        </is>
      </c>
      <c r="E28" s="3" t="inlineStr">
        <is>
          <t>Cloud drive says: connect the cloud drive again; the backup waits in the outbox</t>
        </is>
      </c>
      <c r="F28" s="3" t="inlineStr">
        <is>
          <t>Not tested</t>
        </is>
      </c>
      <c r="G28" s="3" t="inlineStr"/>
      <c r="H28" s="3" t="inlineStr"/>
      <c r="I28" s="3" t="inlineStr"/>
    </row>
    <row r="29">
      <c r="A29" s="3" t="inlineStr">
        <is>
          <t>D05</t>
        </is>
      </c>
      <c r="B29" s="3" t="inlineStr">
        <is>
          <t>Cloud drive</t>
        </is>
      </c>
      <c r="C29" s="3" t="inlineStr">
        <is>
          <t>Laptop (owner)</t>
        </is>
      </c>
      <c r="D29" s="3" t="inlineStr">
        <is>
          <t>Disconnect; connect OneDrive the same way (microsoft.com/devicelogin)</t>
        </is>
      </c>
      <c r="E29" s="3" t="inlineStr">
        <is>
          <t>Connected; the next backup is in OneDrive → Apps → Chedam</t>
        </is>
      </c>
      <c r="F29" s="3" t="inlineStr">
        <is>
          <t>Not tested</t>
        </is>
      </c>
      <c r="G29" s="3" t="inlineStr"/>
      <c r="H29" s="3" t="inlineStr"/>
      <c r="I29" s="3" t="inlineStr"/>
    </row>
    <row r="30">
      <c r="A30" s="3" t="inlineStr">
        <is>
          <t>D06</t>
        </is>
      </c>
      <c r="B30" s="3" t="inlineStr">
        <is>
          <t>Cloud drive</t>
        </is>
      </c>
      <c r="C30" s="3" t="inlineStr">
        <is>
          <t>Laptop (manager)</t>
        </is>
      </c>
      <c r="D30" s="3" t="inlineStr">
        <is>
          <t>Look for Cloud drive on Home</t>
        </is>
      </c>
      <c r="E30" s="3" t="inlineStr">
        <is>
          <t>No tile (owner only)</t>
        </is>
      </c>
      <c r="F30" s="3" t="inlineStr">
        <is>
          <t>Not tested</t>
        </is>
      </c>
      <c r="G30" s="3" t="inlineStr"/>
      <c r="H30" s="3" t="inlineStr"/>
      <c r="I30" s="3" t="inlineStr"/>
    </row>
  </sheetData>
  <autoFilter ref="A1:I30"/>
  <conditionalFormatting sqref="F2:F3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tested"</formula>
    </cfRule>
  </conditionalFormatting>
  <dataValidations count="1">
    <dataValidation sqref="F2:F30" showDropDown="0" showInputMessage="0" showErrorMessage="0" allowBlank="1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4" t="inlineStr">
        <is>
          <t>Area</t>
        </is>
      </c>
      <c r="B1" s="4" t="inlineStr">
        <is>
          <t>Checks</t>
        </is>
      </c>
      <c r="C1" s="4" t="inlineStr">
        <is>
          <t>Pass</t>
        </is>
      </c>
      <c r="D1" s="4" t="inlineStr">
        <is>
          <t>Fail</t>
        </is>
      </c>
      <c r="E1" s="4" t="inlineStr">
        <is>
          <t>Blocked</t>
        </is>
      </c>
      <c r="F1" s="4" t="inlineStr">
        <is>
          <t>Not tested</t>
        </is>
      </c>
    </row>
    <row r="2">
      <c r="A2" t="inlineStr">
        <is>
          <t>Card processor</t>
        </is>
      </c>
      <c r="B2">
        <f>COUNTIF(Tests!B:B,A2)</f>
        <v/>
      </c>
      <c r="C2">
        <f>COUNTIFS(Tests!B:B,A2,Tests!F:F,"Pass")</f>
        <v/>
      </c>
      <c r="D2">
        <f>COUNTIFS(Tests!B:B,A2,Tests!F:F,"Fail")</f>
        <v/>
      </c>
      <c r="E2">
        <f>COUNTIFS(Tests!B:B,A2,Tests!F:F,"Blocked")</f>
        <v/>
      </c>
      <c r="F2">
        <f>COUNTIFS(Tests!B:B,A2,Tests!F:F,"Not tested")</f>
        <v/>
      </c>
    </row>
    <row r="3">
      <c r="A3" t="inlineStr">
        <is>
          <t>Linked card</t>
        </is>
      </c>
      <c r="B3">
        <f>COUNTIF(Tests!B:B,A3)</f>
        <v/>
      </c>
      <c r="C3">
        <f>COUNTIFS(Tests!B:B,A3,Tests!F:F,"Pass")</f>
        <v/>
      </c>
      <c r="D3">
        <f>COUNTIFS(Tests!B:B,A3,Tests!F:F,"Fail")</f>
        <v/>
      </c>
      <c r="E3">
        <f>COUNTIFS(Tests!B:B,A3,Tests!F:F,"Blocked")</f>
        <v/>
      </c>
      <c r="F3">
        <f>COUNTIFS(Tests!B:B,A3,Tests!F:F,"Not tested")</f>
        <v/>
      </c>
    </row>
    <row r="4">
      <c r="A4" t="inlineStr">
        <is>
          <t>Linked refund</t>
        </is>
      </c>
      <c r="B4">
        <f>COUNTIF(Tests!B:B,A4)</f>
        <v/>
      </c>
      <c r="C4">
        <f>COUNTIFS(Tests!B:B,A4,Tests!F:F,"Pass")</f>
        <v/>
      </c>
      <c r="D4">
        <f>COUNTIFS(Tests!B:B,A4,Tests!F:F,"Fail")</f>
        <v/>
      </c>
      <c r="E4">
        <f>COUNTIFS(Tests!B:B,A4,Tests!F:F,"Blocked")</f>
        <v/>
      </c>
      <c r="F4">
        <f>COUNTIFS(Tests!B:B,A4,Tests!F:F,"Not tested")</f>
        <v/>
      </c>
    </row>
    <row r="5">
      <c r="A5" t="inlineStr">
        <is>
          <t>Linked void</t>
        </is>
      </c>
      <c r="B5">
        <f>COUNTIF(Tests!B:B,A5)</f>
        <v/>
      </c>
      <c r="C5">
        <f>COUNTIFS(Tests!B:B,A5,Tests!F:F,"Pass")</f>
        <v/>
      </c>
      <c r="D5">
        <f>COUNTIFS(Tests!B:B,A5,Tests!F:F,"Fail")</f>
        <v/>
      </c>
      <c r="E5">
        <f>COUNTIFS(Tests!B:B,A5,Tests!F:F,"Blocked")</f>
        <v/>
      </c>
      <c r="F5">
        <f>COUNTIFS(Tests!B:B,A5,Tests!F:F,"Not tested")</f>
        <v/>
      </c>
    </row>
    <row r="6">
      <c r="A6" t="inlineStr">
        <is>
          <t>Unused payment</t>
        </is>
      </c>
      <c r="B6">
        <f>COUNTIF(Tests!B:B,A6)</f>
        <v/>
      </c>
      <c r="C6">
        <f>COUNTIFS(Tests!B:B,A6,Tests!F:F,"Pass")</f>
        <v/>
      </c>
      <c r="D6">
        <f>COUNTIFS(Tests!B:B,A6,Tests!F:F,"Fail")</f>
        <v/>
      </c>
      <c r="E6">
        <f>COUNTIFS(Tests!B:B,A6,Tests!F:F,"Blocked")</f>
        <v/>
      </c>
      <c r="F6">
        <f>COUNTIFS(Tests!B:B,A6,Tests!F:F,"Not tested")</f>
        <v/>
      </c>
    </row>
    <row r="7">
      <c r="A7" t="inlineStr">
        <is>
          <t>Fees</t>
        </is>
      </c>
      <c r="B7">
        <f>COUNTIF(Tests!B:B,A7)</f>
        <v/>
      </c>
      <c r="C7">
        <f>COUNTIFS(Tests!B:B,A7,Tests!F:F,"Pass")</f>
        <v/>
      </c>
      <c r="D7">
        <f>COUNTIFS(Tests!B:B,A7,Tests!F:F,"Fail")</f>
        <v/>
      </c>
      <c r="E7">
        <f>COUNTIFS(Tests!B:B,A7,Tests!F:F,"Blocked")</f>
        <v/>
      </c>
      <c r="F7">
        <f>COUNTIFS(Tests!B:B,A7,Tests!F:F,"Not tested")</f>
        <v/>
      </c>
    </row>
    <row r="8">
      <c r="A8" t="inlineStr">
        <is>
          <t>Cloud drive</t>
        </is>
      </c>
      <c r="B8">
        <f>COUNTIF(Tests!B:B,A8)</f>
        <v/>
      </c>
      <c r="C8">
        <f>COUNTIFS(Tests!B:B,A8,Tests!F:F,"Pass")</f>
        <v/>
      </c>
      <c r="D8">
        <f>COUNTIFS(Tests!B:B,A8,Tests!F:F,"Fail")</f>
        <v/>
      </c>
      <c r="E8">
        <f>COUNTIFS(Tests!B:B,A8,Tests!F:F,"Blocked")</f>
        <v/>
      </c>
      <c r="F8">
        <f>COUNTIFS(Tests!B:B,A8,Tests!F:F,"Not tested")</f>
        <v/>
      </c>
    </row>
    <row r="9">
      <c r="A9" s="5" t="inlineStr">
        <is>
          <t>All</t>
        </is>
      </c>
      <c r="B9" s="5">
        <f>SUM(B2:B8)</f>
        <v/>
      </c>
      <c r="C9" s="5">
        <f>SUM(C2:C8)</f>
        <v/>
      </c>
      <c r="D9" s="5">
        <f>SUM(D2:D8)</f>
        <v/>
      </c>
      <c r="E9" s="5">
        <f>SUM(E2:E8)</f>
        <v/>
      </c>
      <c r="F9" s="5">
        <f>SUM(F2:F8)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2026-10-11T16:47:50Z</dcterms:created>
  <dcterms:modified xsi:type="dcterms:W3CDTF">2026-10-11T16:47:50Z</dcterms:modified>
</cp:coreProperties>
</file>